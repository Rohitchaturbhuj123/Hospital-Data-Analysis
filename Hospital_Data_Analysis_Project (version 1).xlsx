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Anudeep Foun\Project\"/>
    </mc:Choice>
  </mc:AlternateContent>
  <xr:revisionPtr revIDLastSave="0" documentId="13_ncr:1_{FA36F865-77EC-4BED-9034-7108C612C649}" xr6:coauthVersionLast="47" xr6:coauthVersionMax="47" xr10:uidLastSave="{00000000-0000-0000-0000-000000000000}"/>
  <bookViews>
    <workbookView xWindow="-100" yWindow="-100" windowWidth="21467" windowHeight="11443" xr2:uid="{00000000-000D-0000-FFFF-FFFF00000000}"/>
  </bookViews>
  <sheets>
    <sheet name="Sheet1" sheetId="1" r:id="rId1"/>
    <sheet name="Sheet5" sheetId="5" r:id="rId2"/>
  </sheets>
  <definedNames>
    <definedName name="Slicer_Admission_Type">#N/A</definedName>
    <definedName name="Slicer_Department">#N/A</definedName>
    <definedName name="Slicer_Gende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7" i="1" l="1"/>
  <c r="AB24" i="1"/>
  <c r="AB20" i="1"/>
  <c r="Y34" i="1"/>
  <c r="Y30" i="1"/>
  <c r="Y27" i="1"/>
  <c r="Y24" i="1"/>
  <c r="Y20" i="1"/>
  <c r="V20" i="1"/>
  <c r="V26" i="1"/>
  <c r="V23" i="1"/>
  <c r="S29" i="1"/>
  <c r="S26" i="1"/>
  <c r="S23"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alcChain>
</file>

<file path=xl/sharedStrings.xml><?xml version="1.0" encoding="utf-8"?>
<sst xmlns="http://schemas.openxmlformats.org/spreadsheetml/2006/main" count="7165" uniqueCount="73">
  <si>
    <t>Patient_ID</t>
  </si>
  <si>
    <t>Age</t>
  </si>
  <si>
    <t>Gender</t>
  </si>
  <si>
    <t>Department</t>
  </si>
  <si>
    <t>Doctor</t>
  </si>
  <si>
    <t>Admission_Type</t>
  </si>
  <si>
    <t>Length_of_Stay_Days</t>
  </si>
  <si>
    <t>Treatment_Cost</t>
  </si>
  <si>
    <t>Insurance</t>
  </si>
  <si>
    <t>Payment_Mode</t>
  </si>
  <si>
    <t>Outcome</t>
  </si>
  <si>
    <t>Rating</t>
  </si>
  <si>
    <t>Female</t>
  </si>
  <si>
    <t>Male</t>
  </si>
  <si>
    <t>Cardiology</t>
  </si>
  <si>
    <t>Pediatrics</t>
  </si>
  <si>
    <t>Orthopedics</t>
  </si>
  <si>
    <t>Oncology</t>
  </si>
  <si>
    <t>Neurology</t>
  </si>
  <si>
    <t>General Medicine</t>
  </si>
  <si>
    <t>Dr. Patil</t>
  </si>
  <si>
    <t>Dr. Singh</t>
  </si>
  <si>
    <t>Dr. Sharma</t>
  </si>
  <si>
    <t>Dr. Iyer</t>
  </si>
  <si>
    <t>Dr. Mehta</t>
  </si>
  <si>
    <t>Emergency</t>
  </si>
  <si>
    <t>Referral</t>
  </si>
  <si>
    <t>OPD</t>
  </si>
  <si>
    <t>No</t>
  </si>
  <si>
    <t>Yes</t>
  </si>
  <si>
    <t>Card</t>
  </si>
  <si>
    <t>Cash</t>
  </si>
  <si>
    <t>Discharged</t>
  </si>
  <si>
    <t>Deceased</t>
  </si>
  <si>
    <t>Under Treatment</t>
  </si>
  <si>
    <t>Recovered</t>
  </si>
  <si>
    <t>Row Labels</t>
  </si>
  <si>
    <t>Grand Total</t>
  </si>
  <si>
    <t>Count of Patient_ID</t>
  </si>
  <si>
    <t>Column Labels</t>
  </si>
  <si>
    <t>Age Group</t>
  </si>
  <si>
    <t>0-18</t>
  </si>
  <si>
    <t>19-40</t>
  </si>
  <si>
    <t>41-60</t>
  </si>
  <si>
    <t>60+</t>
  </si>
  <si>
    <t>Sum of Treatment_Cost</t>
  </si>
  <si>
    <t>Average of Treatment_Cost</t>
  </si>
  <si>
    <t>Average of Rating</t>
  </si>
  <si>
    <t>Average of Length_of_Stay_Days</t>
  </si>
  <si>
    <t>Total Revenue</t>
  </si>
  <si>
    <t>Insurance Revenue</t>
  </si>
  <si>
    <t>Non Insurance Revenue</t>
  </si>
  <si>
    <t>Payment Mode Distrubution</t>
  </si>
  <si>
    <t>Card Payment Mode Distrubution</t>
  </si>
  <si>
    <t>Incurance Payment Mode Distrubution</t>
  </si>
  <si>
    <t>Cash Payment Mode Distrubution</t>
  </si>
  <si>
    <t>Total Patients</t>
  </si>
  <si>
    <t>Recovered Patients</t>
  </si>
  <si>
    <t>Recovery Rate</t>
  </si>
  <si>
    <t>Martelity Rate</t>
  </si>
  <si>
    <t>Discharge Percentage</t>
  </si>
  <si>
    <t>Gebder wise count</t>
  </si>
  <si>
    <t>age group analysis</t>
  </si>
  <si>
    <t>patients per department</t>
  </si>
  <si>
    <t>Average treatment cost per departments</t>
  </si>
  <si>
    <t>departments wise outcomes</t>
  </si>
  <si>
    <t>no. of. Patients handle by each dr.</t>
  </si>
  <si>
    <t>average rating per dr.</t>
  </si>
  <si>
    <t>Average Treatment Cast</t>
  </si>
  <si>
    <t>insurance vs Non insurance Revenue</t>
  </si>
  <si>
    <t>Count of Treatment_Cost</t>
  </si>
  <si>
    <t>\</t>
  </si>
  <si>
    <t>Count of 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</si>
</sst>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9" fontId="0" fillId="0" borderId="0" xfId="1" applyFont="1"/>
    <xf numFmtId="164" fontId="0" fillId="0" borderId="0" xfId="0" applyNumberFormat="1"/>
    <xf numFmtId="0" fontId="0" fillId="2" borderId="1" xfId="0" applyFill="1" applyBorder="1" applyAlignment="1">
      <alignment horizontal="center"/>
    </xf>
  </cellXfs>
  <cellStyles count="2">
    <cellStyle name="Normal" xfId="0" builtinId="0"/>
    <cellStyle name="Percent" xfId="1" builtinId="5"/>
  </cellStyles>
  <dxfs count="4">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1.xml"/><Relationship Id="rId21" Type="http://schemas.openxmlformats.org/officeDocument/2006/relationships/customXml" Target="../customXml/item11.xml"/><Relationship Id="rId7" Type="http://schemas.openxmlformats.org/officeDocument/2006/relationships/theme" Target="theme/theme1.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1.xml"/><Relationship Id="rId24" Type="http://schemas.openxmlformats.org/officeDocument/2006/relationships/customXml" Target="../customXml/item14.xml"/><Relationship Id="rId5" Type="http://schemas.microsoft.com/office/2007/relationships/slicerCache" Target="slicerCaches/slicerCache2.xml"/><Relationship Id="rId15" Type="http://schemas.openxmlformats.org/officeDocument/2006/relationships/customXml" Target="../customXml/item5.xml"/><Relationship Id="rId23" Type="http://schemas.openxmlformats.org/officeDocument/2006/relationships/customXml" Target="../customXml/item13.xml"/><Relationship Id="rId10" Type="http://schemas.openxmlformats.org/officeDocument/2006/relationships/calcChain" Target="calcChain.xml"/><Relationship Id="rId19" Type="http://schemas.openxmlformats.org/officeDocument/2006/relationships/customXml" Target="../customXml/item9.xml"/><Relationship Id="rId4" Type="http://schemas.microsoft.com/office/2007/relationships/slicerCache" Target="slicerCaches/slicerCache1.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[Hospital_Data_Analysis_Project (version 1).xlsx]Sheet1!PivotTable3</c:name>
    <c:fmtId val="2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22222222222222"/>
          <c:y val="0.17851414406532518"/>
          <c:w val="0.45277777777777778"/>
          <c:h val="0.34926363371245267"/>
        </c:manualLayout>
      </c:layout>
      <c:areaChart>
        <c:grouping val="standard"/>
        <c:varyColors val="0"/>
        <c:ser>
          <c:idx val="0"/>
          <c:order val="0"/>
          <c:tx>
            <c:strRef>
              <c:f>Sheet1!$AX$8</c:f>
              <c:strCache>
                <c:ptCount val="1"/>
                <c:pt idx="0">
                  <c:v>Total</c:v>
                </c:pt>
              </c:strCache>
            </c:strRef>
          </c:tx>
          <c:spPr>
            <a:solidFill>
              <a:schemeClr val="accent5">
                <a:lumMod val="40000"/>
                <a:lumOff val="60000"/>
              </a:schemeClr>
            </a:solidFill>
            <a:ln>
              <a:solidFill>
                <a:srgbClr val="002060"/>
              </a:solidFill>
            </a:ln>
            <a:effectLst/>
          </c:spPr>
          <c:cat>
            <c:strRef>
              <c:f>Sheet1!$AW$9:$AW$15</c:f>
              <c:strCache>
                <c:ptCount val="6"/>
                <c:pt idx="0">
                  <c:v>Cardiology</c:v>
                </c:pt>
                <c:pt idx="1">
                  <c:v>General Medicine</c:v>
                </c:pt>
                <c:pt idx="2">
                  <c:v>Neurology</c:v>
                </c:pt>
                <c:pt idx="3">
                  <c:v>Oncology</c:v>
                </c:pt>
                <c:pt idx="4">
                  <c:v>Orthopedics</c:v>
                </c:pt>
                <c:pt idx="5">
                  <c:v>Pediatrics</c:v>
                </c:pt>
              </c:strCache>
            </c:strRef>
          </c:cat>
          <c:val>
            <c:numRef>
              <c:f>Sheet1!$AX$9:$AX$15</c:f>
              <c:numCache>
                <c:formatCode>General</c:formatCode>
                <c:ptCount val="6"/>
                <c:pt idx="0">
                  <c:v>164</c:v>
                </c:pt>
                <c:pt idx="1">
                  <c:v>181</c:v>
                </c:pt>
                <c:pt idx="2">
                  <c:v>175</c:v>
                </c:pt>
                <c:pt idx="3">
                  <c:v>169</c:v>
                </c:pt>
                <c:pt idx="4">
                  <c:v>136</c:v>
                </c:pt>
                <c:pt idx="5">
                  <c:v>175</c:v>
                </c:pt>
              </c:numCache>
            </c:numRef>
          </c:val>
          <c:extLst>
            <c:ext xmlns:c16="http://schemas.microsoft.com/office/drawing/2014/chart" uri="{C3380CC4-5D6E-409C-BE32-E72D297353CC}">
              <c16:uniqueId val="{00000000-9E54-4FA1-8A12-5297A84ED43B}"/>
            </c:ext>
          </c:extLst>
        </c:ser>
        <c:dLbls>
          <c:showLegendKey val="0"/>
          <c:showVal val="0"/>
          <c:showCatName val="0"/>
          <c:showSerName val="0"/>
          <c:showPercent val="0"/>
          <c:showBubbleSize val="0"/>
        </c:dLbls>
        <c:axId val="1274695792"/>
        <c:axId val="1274693872"/>
      </c:areaChart>
      <c:catAx>
        <c:axId val="1274695792"/>
        <c:scaling>
          <c:orientation val="minMax"/>
        </c:scaling>
        <c:delete val="1"/>
        <c:axPos val="b"/>
        <c:numFmt formatCode="General" sourceLinked="1"/>
        <c:majorTickMark val="out"/>
        <c:minorTickMark val="none"/>
        <c:tickLblPos val="nextTo"/>
        <c:crossAx val="1274693872"/>
        <c:crosses val="autoZero"/>
        <c:auto val="1"/>
        <c:lblAlgn val="ctr"/>
        <c:lblOffset val="100"/>
        <c:noMultiLvlLbl val="0"/>
      </c:catAx>
      <c:valAx>
        <c:axId val="1274693872"/>
        <c:scaling>
          <c:orientation val="minMax"/>
        </c:scaling>
        <c:delete val="1"/>
        <c:axPos val="l"/>
        <c:numFmt formatCode="General" sourceLinked="1"/>
        <c:majorTickMark val="none"/>
        <c:minorTickMark val="none"/>
        <c:tickLblPos val="nextTo"/>
        <c:crossAx val="12746957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[Hospital_Data_Analysis_Project (version 1).xlsx]Sheet1!PivotTable5</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Sheet1!$Z$9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Sheet1!$Y$10:$Y$16</c:f>
              <c:strCache>
                <c:ptCount val="6"/>
                <c:pt idx="0">
                  <c:v>Cardiology</c:v>
                </c:pt>
                <c:pt idx="1">
                  <c:v>General Medicine</c:v>
                </c:pt>
                <c:pt idx="2">
                  <c:v>Neurology</c:v>
                </c:pt>
                <c:pt idx="3">
                  <c:v>Oncology</c:v>
                </c:pt>
                <c:pt idx="4">
                  <c:v>Orthopedics</c:v>
                </c:pt>
                <c:pt idx="5">
                  <c:v>Pediatrics</c:v>
                </c:pt>
              </c:strCache>
            </c:strRef>
          </c:cat>
          <c:val>
            <c:numRef>
              <c:f>Sheet1!$Z$10:$Z$16</c:f>
              <c:numCache>
                <c:formatCode>General</c:formatCode>
                <c:ptCount val="6"/>
                <c:pt idx="0">
                  <c:v>164</c:v>
                </c:pt>
                <c:pt idx="1">
                  <c:v>181</c:v>
                </c:pt>
                <c:pt idx="2">
                  <c:v>175</c:v>
                </c:pt>
                <c:pt idx="3">
                  <c:v>169</c:v>
                </c:pt>
                <c:pt idx="4">
                  <c:v>136</c:v>
                </c:pt>
                <c:pt idx="5">
                  <c:v>175</c:v>
                </c:pt>
              </c:numCache>
            </c:numRef>
          </c:val>
          <c:extLst>
            <c:ext xmlns:c16="http://schemas.microsoft.com/office/drawing/2014/chart" uri="{C3380CC4-5D6E-409C-BE32-E72D297353CC}">
              <c16:uniqueId val="{00000000-4AD1-49A5-A025-40125B71A121}"/>
            </c:ext>
          </c:extLst>
        </c:ser>
        <c:dLbls>
          <c:showLegendKey val="0"/>
          <c:showVal val="0"/>
          <c:showCatName val="0"/>
          <c:showSerName val="0"/>
          <c:showPercent val="0"/>
          <c:showBubbleSize val="0"/>
        </c:dLbls>
        <c:gapWidth val="100"/>
        <c:overlap val="-24"/>
        <c:axId val="477148079"/>
        <c:axId val="477148559"/>
      </c:barChart>
      <c:catAx>
        <c:axId val="477148079"/>
        <c:scaling>
          <c:orientation val="minMax"/>
        </c:scaling>
        <c:delete val="1"/>
        <c:axPos val="b"/>
        <c:numFmt formatCode="General" sourceLinked="1"/>
        <c:majorTickMark val="none"/>
        <c:minorTickMark val="none"/>
        <c:tickLblPos val="nextTo"/>
        <c:crossAx val="477148559"/>
        <c:crosses val="autoZero"/>
        <c:auto val="1"/>
        <c:lblAlgn val="ctr"/>
        <c:lblOffset val="100"/>
        <c:noMultiLvlLbl val="0"/>
      </c:catAx>
      <c:valAx>
        <c:axId val="477148559"/>
        <c:scaling>
          <c:orientation val="minMax"/>
        </c:scaling>
        <c:delete val="1"/>
        <c:axPos val="l"/>
        <c:numFmt formatCode="General" sourceLinked="1"/>
        <c:majorTickMark val="none"/>
        <c:minorTickMark val="none"/>
        <c:tickLblPos val="nextTo"/>
        <c:crossAx val="47714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[Hospital_Data_Analysis_Project (version 1).xlsx]Sheet1!PivotTable5</c:name>
    <c:fmtId val="4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Sheet1!$Z$9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Sheet1!$Y$10:$Y$16</c:f>
              <c:strCache>
                <c:ptCount val="6"/>
                <c:pt idx="0">
                  <c:v>Cardiology</c:v>
                </c:pt>
                <c:pt idx="1">
                  <c:v>General Medicine</c:v>
                </c:pt>
                <c:pt idx="2">
                  <c:v>Neurology</c:v>
                </c:pt>
                <c:pt idx="3">
                  <c:v>Oncology</c:v>
                </c:pt>
                <c:pt idx="4">
                  <c:v>Orthopedics</c:v>
                </c:pt>
                <c:pt idx="5">
                  <c:v>Pediatrics</c:v>
                </c:pt>
              </c:strCache>
            </c:strRef>
          </c:cat>
          <c:val>
            <c:numRef>
              <c:f>Sheet1!$Z$10:$Z$16</c:f>
              <c:numCache>
                <c:formatCode>General</c:formatCode>
                <c:ptCount val="6"/>
                <c:pt idx="0">
                  <c:v>164</c:v>
                </c:pt>
                <c:pt idx="1">
                  <c:v>181</c:v>
                </c:pt>
                <c:pt idx="2">
                  <c:v>175</c:v>
                </c:pt>
                <c:pt idx="3">
                  <c:v>169</c:v>
                </c:pt>
                <c:pt idx="4">
                  <c:v>136</c:v>
                </c:pt>
                <c:pt idx="5">
                  <c:v>175</c:v>
                </c:pt>
              </c:numCache>
            </c:numRef>
          </c:val>
          <c:extLst>
            <c:ext xmlns:c16="http://schemas.microsoft.com/office/drawing/2014/chart" uri="{C3380CC4-5D6E-409C-BE32-E72D297353CC}">
              <c16:uniqueId val="{00000000-E98B-46D0-ADD9-B55C43C835C3}"/>
            </c:ext>
          </c:extLst>
        </c:ser>
        <c:dLbls>
          <c:showLegendKey val="0"/>
          <c:showVal val="0"/>
          <c:showCatName val="0"/>
          <c:showSerName val="0"/>
          <c:showPercent val="0"/>
          <c:showBubbleSize val="0"/>
        </c:dLbls>
        <c:gapWidth val="100"/>
        <c:overlap val="-24"/>
        <c:axId val="477148079"/>
        <c:axId val="477148559"/>
      </c:barChart>
      <c:catAx>
        <c:axId val="477148079"/>
        <c:scaling>
          <c:orientation val="minMax"/>
        </c:scaling>
        <c:delete val="1"/>
        <c:axPos val="b"/>
        <c:numFmt formatCode="General" sourceLinked="1"/>
        <c:majorTickMark val="none"/>
        <c:minorTickMark val="none"/>
        <c:tickLblPos val="nextTo"/>
        <c:crossAx val="477148559"/>
        <c:crosses val="autoZero"/>
        <c:auto val="1"/>
        <c:lblAlgn val="ctr"/>
        <c:lblOffset val="100"/>
        <c:noMultiLvlLbl val="0"/>
      </c:catAx>
      <c:valAx>
        <c:axId val="477148559"/>
        <c:scaling>
          <c:orientation val="minMax"/>
        </c:scaling>
        <c:delete val="1"/>
        <c:axPos val="l"/>
        <c:numFmt formatCode="General" sourceLinked="1"/>
        <c:majorTickMark val="none"/>
        <c:minorTickMark val="none"/>
        <c:tickLblPos val="nextTo"/>
        <c:crossAx val="47714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[Hospital_Data_Analysis_Project (version 1).xlsx]Sheet1!PivotTable5</c:name>
    <c:fmtId val="5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Sheet1!$Z$9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Sheet1!$Y$10:$Y$16</c:f>
              <c:strCache>
                <c:ptCount val="6"/>
                <c:pt idx="0">
                  <c:v>Cardiology</c:v>
                </c:pt>
                <c:pt idx="1">
                  <c:v>General Medicine</c:v>
                </c:pt>
                <c:pt idx="2">
                  <c:v>Neurology</c:v>
                </c:pt>
                <c:pt idx="3">
                  <c:v>Oncology</c:v>
                </c:pt>
                <c:pt idx="4">
                  <c:v>Orthopedics</c:v>
                </c:pt>
                <c:pt idx="5">
                  <c:v>Pediatrics</c:v>
                </c:pt>
              </c:strCache>
            </c:strRef>
          </c:cat>
          <c:val>
            <c:numRef>
              <c:f>Sheet1!$Z$10:$Z$16</c:f>
              <c:numCache>
                <c:formatCode>General</c:formatCode>
                <c:ptCount val="6"/>
                <c:pt idx="0">
                  <c:v>164</c:v>
                </c:pt>
                <c:pt idx="1">
                  <c:v>181</c:v>
                </c:pt>
                <c:pt idx="2">
                  <c:v>175</c:v>
                </c:pt>
                <c:pt idx="3">
                  <c:v>169</c:v>
                </c:pt>
                <c:pt idx="4">
                  <c:v>136</c:v>
                </c:pt>
                <c:pt idx="5">
                  <c:v>175</c:v>
                </c:pt>
              </c:numCache>
            </c:numRef>
          </c:val>
          <c:extLst>
            <c:ext xmlns:c16="http://schemas.microsoft.com/office/drawing/2014/chart" uri="{C3380CC4-5D6E-409C-BE32-E72D297353CC}">
              <c16:uniqueId val="{00000000-7EBB-4063-BF08-D7E67F1A5063}"/>
            </c:ext>
          </c:extLst>
        </c:ser>
        <c:dLbls>
          <c:showLegendKey val="0"/>
          <c:showVal val="0"/>
          <c:showCatName val="0"/>
          <c:showSerName val="0"/>
          <c:showPercent val="0"/>
          <c:showBubbleSize val="0"/>
        </c:dLbls>
        <c:gapWidth val="100"/>
        <c:overlap val="-24"/>
        <c:axId val="477148079"/>
        <c:axId val="477148559"/>
      </c:barChart>
      <c:catAx>
        <c:axId val="477148079"/>
        <c:scaling>
          <c:orientation val="minMax"/>
        </c:scaling>
        <c:delete val="1"/>
        <c:axPos val="b"/>
        <c:numFmt formatCode="General" sourceLinked="1"/>
        <c:majorTickMark val="none"/>
        <c:minorTickMark val="none"/>
        <c:tickLblPos val="nextTo"/>
        <c:crossAx val="477148559"/>
        <c:crosses val="autoZero"/>
        <c:auto val="1"/>
        <c:lblAlgn val="ctr"/>
        <c:lblOffset val="100"/>
        <c:noMultiLvlLbl val="0"/>
      </c:catAx>
      <c:valAx>
        <c:axId val="477148559"/>
        <c:scaling>
          <c:orientation val="minMax"/>
        </c:scaling>
        <c:delete val="1"/>
        <c:axPos val="l"/>
        <c:numFmt formatCode="General" sourceLinked="1"/>
        <c:majorTickMark val="none"/>
        <c:minorTickMark val="none"/>
        <c:tickLblPos val="nextTo"/>
        <c:crossAx val="47714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[Hospital_Data_Analysis_Project (version 1).xlsx]Sheet1!PivotTable5</c:name>
    <c:fmtId val="5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Sheet1!$Z$9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Sheet1!$Y$10:$Y$16</c:f>
              <c:strCache>
                <c:ptCount val="6"/>
                <c:pt idx="0">
                  <c:v>Cardiology</c:v>
                </c:pt>
                <c:pt idx="1">
                  <c:v>General Medicine</c:v>
                </c:pt>
                <c:pt idx="2">
                  <c:v>Neurology</c:v>
                </c:pt>
                <c:pt idx="3">
                  <c:v>Oncology</c:v>
                </c:pt>
                <c:pt idx="4">
                  <c:v>Orthopedics</c:v>
                </c:pt>
                <c:pt idx="5">
                  <c:v>Pediatrics</c:v>
                </c:pt>
              </c:strCache>
            </c:strRef>
          </c:cat>
          <c:val>
            <c:numRef>
              <c:f>Sheet1!$Z$10:$Z$16</c:f>
              <c:numCache>
                <c:formatCode>General</c:formatCode>
                <c:ptCount val="6"/>
                <c:pt idx="0">
                  <c:v>164</c:v>
                </c:pt>
                <c:pt idx="1">
                  <c:v>181</c:v>
                </c:pt>
                <c:pt idx="2">
                  <c:v>175</c:v>
                </c:pt>
                <c:pt idx="3">
                  <c:v>169</c:v>
                </c:pt>
                <c:pt idx="4">
                  <c:v>136</c:v>
                </c:pt>
                <c:pt idx="5">
                  <c:v>175</c:v>
                </c:pt>
              </c:numCache>
            </c:numRef>
          </c:val>
          <c:extLst>
            <c:ext xmlns:c16="http://schemas.microsoft.com/office/drawing/2014/chart" uri="{C3380CC4-5D6E-409C-BE32-E72D297353CC}">
              <c16:uniqueId val="{00000000-B609-4861-B13E-067538D9EFBF}"/>
            </c:ext>
          </c:extLst>
        </c:ser>
        <c:dLbls>
          <c:showLegendKey val="0"/>
          <c:showVal val="0"/>
          <c:showCatName val="0"/>
          <c:showSerName val="0"/>
          <c:showPercent val="0"/>
          <c:showBubbleSize val="0"/>
        </c:dLbls>
        <c:gapWidth val="100"/>
        <c:overlap val="-24"/>
        <c:axId val="477148079"/>
        <c:axId val="477148559"/>
      </c:barChart>
      <c:catAx>
        <c:axId val="477148079"/>
        <c:scaling>
          <c:orientation val="minMax"/>
        </c:scaling>
        <c:delete val="1"/>
        <c:axPos val="b"/>
        <c:numFmt formatCode="General" sourceLinked="1"/>
        <c:majorTickMark val="none"/>
        <c:minorTickMark val="none"/>
        <c:tickLblPos val="nextTo"/>
        <c:crossAx val="477148559"/>
        <c:crosses val="autoZero"/>
        <c:auto val="1"/>
        <c:lblAlgn val="ctr"/>
        <c:lblOffset val="100"/>
        <c:noMultiLvlLbl val="0"/>
      </c:catAx>
      <c:valAx>
        <c:axId val="477148559"/>
        <c:scaling>
          <c:orientation val="minMax"/>
        </c:scaling>
        <c:delete val="1"/>
        <c:axPos val="l"/>
        <c:numFmt formatCode="General" sourceLinked="1"/>
        <c:majorTickMark val="none"/>
        <c:minorTickMark val="none"/>
        <c:tickLblPos val="nextTo"/>
        <c:crossAx val="47714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[Hospital_Data_Analysis_Project (version 1).xlsx]Sheet1!PivotTable5</c:name>
    <c:fmtId val="5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Sheet1!$Z$9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Sheet1!$Y$10:$Y$16</c:f>
              <c:strCache>
                <c:ptCount val="6"/>
                <c:pt idx="0">
                  <c:v>Cardiology</c:v>
                </c:pt>
                <c:pt idx="1">
                  <c:v>General Medicine</c:v>
                </c:pt>
                <c:pt idx="2">
                  <c:v>Neurology</c:v>
                </c:pt>
                <c:pt idx="3">
                  <c:v>Oncology</c:v>
                </c:pt>
                <c:pt idx="4">
                  <c:v>Orthopedics</c:v>
                </c:pt>
                <c:pt idx="5">
                  <c:v>Pediatrics</c:v>
                </c:pt>
              </c:strCache>
            </c:strRef>
          </c:cat>
          <c:val>
            <c:numRef>
              <c:f>Sheet1!$Z$10:$Z$16</c:f>
              <c:numCache>
                <c:formatCode>General</c:formatCode>
                <c:ptCount val="6"/>
                <c:pt idx="0">
                  <c:v>164</c:v>
                </c:pt>
                <c:pt idx="1">
                  <c:v>181</c:v>
                </c:pt>
                <c:pt idx="2">
                  <c:v>175</c:v>
                </c:pt>
                <c:pt idx="3">
                  <c:v>169</c:v>
                </c:pt>
                <c:pt idx="4">
                  <c:v>136</c:v>
                </c:pt>
                <c:pt idx="5">
                  <c:v>175</c:v>
                </c:pt>
              </c:numCache>
            </c:numRef>
          </c:val>
          <c:extLst>
            <c:ext xmlns:c16="http://schemas.microsoft.com/office/drawing/2014/chart" uri="{C3380CC4-5D6E-409C-BE32-E72D297353CC}">
              <c16:uniqueId val="{00000000-D799-422D-A7C2-05C213FF0AD9}"/>
            </c:ext>
          </c:extLst>
        </c:ser>
        <c:dLbls>
          <c:showLegendKey val="0"/>
          <c:showVal val="0"/>
          <c:showCatName val="0"/>
          <c:showSerName val="0"/>
          <c:showPercent val="0"/>
          <c:showBubbleSize val="0"/>
        </c:dLbls>
        <c:gapWidth val="100"/>
        <c:overlap val="-24"/>
        <c:axId val="477148079"/>
        <c:axId val="477148559"/>
      </c:barChart>
      <c:catAx>
        <c:axId val="477148079"/>
        <c:scaling>
          <c:orientation val="minMax"/>
        </c:scaling>
        <c:delete val="1"/>
        <c:axPos val="b"/>
        <c:numFmt formatCode="General" sourceLinked="1"/>
        <c:majorTickMark val="none"/>
        <c:minorTickMark val="none"/>
        <c:tickLblPos val="nextTo"/>
        <c:crossAx val="477148559"/>
        <c:crosses val="autoZero"/>
        <c:auto val="1"/>
        <c:lblAlgn val="ctr"/>
        <c:lblOffset val="100"/>
        <c:noMultiLvlLbl val="0"/>
      </c:catAx>
      <c:valAx>
        <c:axId val="477148559"/>
        <c:scaling>
          <c:orientation val="minMax"/>
        </c:scaling>
        <c:delete val="1"/>
        <c:axPos val="l"/>
        <c:numFmt formatCode="General" sourceLinked="1"/>
        <c:majorTickMark val="none"/>
        <c:minorTickMark val="none"/>
        <c:tickLblPos val="nextTo"/>
        <c:crossAx val="47714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[Hospital_Data_Analysis_Project (version 1).xlsx]Sheet1!PivotTable1</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a:latin typeface="Times New Roman" panose="02020603050405020304" pitchFamily="18" charset="0"/>
                <a:cs typeface="Times New Roman" panose="02020603050405020304" pitchFamily="18" charset="0"/>
              </a:rPr>
              <a:t>Gender</a:t>
            </a:r>
            <a:r>
              <a:rPr lang="en-IN" sz="1600" baseline="0">
                <a:latin typeface="Times New Roman" panose="02020603050405020304" pitchFamily="18" charset="0"/>
                <a:cs typeface="Times New Roman" panose="02020603050405020304" pitchFamily="18" charset="0"/>
              </a:rPr>
              <a:t> wise Count</a:t>
            </a:r>
            <a:endParaRPr lang="en-IN" sz="16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Sheet1!$T$9</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Sheet1!$S$10:$S$12</c:f>
              <c:strCache>
                <c:ptCount val="2"/>
                <c:pt idx="0">
                  <c:v>Female</c:v>
                </c:pt>
                <c:pt idx="1">
                  <c:v>Male</c:v>
                </c:pt>
              </c:strCache>
            </c:strRef>
          </c:cat>
          <c:val>
            <c:numRef>
              <c:f>Sheet1!$T$10:$T$12</c:f>
              <c:numCache>
                <c:formatCode>General</c:formatCode>
                <c:ptCount val="2"/>
                <c:pt idx="0">
                  <c:v>473</c:v>
                </c:pt>
                <c:pt idx="1">
                  <c:v>527</c:v>
                </c:pt>
              </c:numCache>
            </c:numRef>
          </c:val>
          <c:extLst>
            <c:ext xmlns:c16="http://schemas.microsoft.com/office/drawing/2014/chart" uri="{C3380CC4-5D6E-409C-BE32-E72D297353CC}">
              <c16:uniqueId val="{00000000-35E3-4104-A616-BAA0FEF0B4BF}"/>
            </c:ext>
          </c:extLst>
        </c:ser>
        <c:dLbls>
          <c:showLegendKey val="0"/>
          <c:showVal val="1"/>
          <c:showCatName val="0"/>
          <c:showSerName val="0"/>
          <c:showPercent val="0"/>
          <c:showBubbleSize val="0"/>
        </c:dLbls>
        <c:gapWidth val="65"/>
        <c:shape val="box"/>
        <c:axId val="619001727"/>
        <c:axId val="618998847"/>
        <c:axId val="0"/>
      </c:bar3DChart>
      <c:catAx>
        <c:axId val="619001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8998847"/>
        <c:crosses val="autoZero"/>
        <c:auto val="1"/>
        <c:lblAlgn val="ctr"/>
        <c:lblOffset val="100"/>
        <c:noMultiLvlLbl val="0"/>
      </c:catAx>
      <c:valAx>
        <c:axId val="6189988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900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[Hospital_Data_Analysis_Project (version 1).xlsx]Sheet1!PivotTable2</c:name>
    <c:fmtId val="2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latin typeface="Times New Roman" panose="02020603050405020304" pitchFamily="18" charset="0"/>
                <a:cs typeface="Times New Roman" panose="02020603050405020304" pitchFamily="18" charset="0"/>
              </a:rPr>
              <a:t> Age Group Analysis </a:t>
            </a:r>
          </a:p>
        </c:rich>
      </c:tx>
      <c:layout>
        <c:manualLayout>
          <c:xMode val="edge"/>
          <c:yMode val="edge"/>
          <c:x val="0.35225643513665483"/>
          <c:y val="0.1496667925318373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Sheet1!$W$9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Sheet1!$V$10:$V$14</c:f>
              <c:strCache>
                <c:ptCount val="4"/>
                <c:pt idx="0">
                  <c:v>0-18</c:v>
                </c:pt>
                <c:pt idx="1">
                  <c:v>19-40</c:v>
                </c:pt>
                <c:pt idx="2">
                  <c:v>41-60</c:v>
                </c:pt>
                <c:pt idx="3">
                  <c:v>60+</c:v>
                </c:pt>
              </c:strCache>
            </c:strRef>
          </c:cat>
          <c:val>
            <c:numRef>
              <c:f>Sheet1!$W$10:$W$14</c:f>
              <c:numCache>
                <c:formatCode>General</c:formatCode>
                <c:ptCount val="4"/>
                <c:pt idx="0">
                  <c:v>225</c:v>
                </c:pt>
                <c:pt idx="1">
                  <c:v>253</c:v>
                </c:pt>
                <c:pt idx="2">
                  <c:v>216</c:v>
                </c:pt>
                <c:pt idx="3">
                  <c:v>306</c:v>
                </c:pt>
              </c:numCache>
            </c:numRef>
          </c:val>
          <c:extLst>
            <c:ext xmlns:c16="http://schemas.microsoft.com/office/drawing/2014/chart" uri="{C3380CC4-5D6E-409C-BE32-E72D297353CC}">
              <c16:uniqueId val="{00000000-7202-426D-8924-60A9C8C0AB89}"/>
            </c:ext>
          </c:extLst>
        </c:ser>
        <c:dLbls>
          <c:showLegendKey val="0"/>
          <c:showVal val="0"/>
          <c:showCatName val="0"/>
          <c:showSerName val="0"/>
          <c:showPercent val="0"/>
          <c:showBubbleSize val="0"/>
        </c:dLbls>
        <c:gapWidth val="150"/>
        <c:overlap val="100"/>
        <c:axId val="1675164783"/>
        <c:axId val="1675174383"/>
      </c:barChart>
      <c:catAx>
        <c:axId val="167516478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5174383"/>
        <c:crosses val="autoZero"/>
        <c:auto val="1"/>
        <c:lblAlgn val="ctr"/>
        <c:lblOffset val="100"/>
        <c:noMultiLvlLbl val="0"/>
      </c:catAx>
      <c:valAx>
        <c:axId val="167517438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516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[Hospital_Data_Analysis_Project (version 1).xlsx]Sheet1!PivotTable5</c:name>
    <c:fmtId val="5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Department Wise Patients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Sheet1!$Z$9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Sheet1!$Y$10:$Y$16</c:f>
              <c:strCache>
                <c:ptCount val="6"/>
                <c:pt idx="0">
                  <c:v>Cardiology</c:v>
                </c:pt>
                <c:pt idx="1">
                  <c:v>General Medicine</c:v>
                </c:pt>
                <c:pt idx="2">
                  <c:v>Neurology</c:v>
                </c:pt>
                <c:pt idx="3">
                  <c:v>Oncology</c:v>
                </c:pt>
                <c:pt idx="4">
                  <c:v>Orthopedics</c:v>
                </c:pt>
                <c:pt idx="5">
                  <c:v>Pediatrics</c:v>
                </c:pt>
              </c:strCache>
            </c:strRef>
          </c:cat>
          <c:val>
            <c:numRef>
              <c:f>Sheet1!$Z$10:$Z$16</c:f>
              <c:numCache>
                <c:formatCode>General</c:formatCode>
                <c:ptCount val="6"/>
                <c:pt idx="0">
                  <c:v>164</c:v>
                </c:pt>
                <c:pt idx="1">
                  <c:v>181</c:v>
                </c:pt>
                <c:pt idx="2">
                  <c:v>175</c:v>
                </c:pt>
                <c:pt idx="3">
                  <c:v>169</c:v>
                </c:pt>
                <c:pt idx="4">
                  <c:v>136</c:v>
                </c:pt>
                <c:pt idx="5">
                  <c:v>175</c:v>
                </c:pt>
              </c:numCache>
            </c:numRef>
          </c:val>
          <c:extLst>
            <c:ext xmlns:c16="http://schemas.microsoft.com/office/drawing/2014/chart" uri="{C3380CC4-5D6E-409C-BE32-E72D297353CC}">
              <c16:uniqueId val="{00000002-6A33-4172-9CED-B2281797859E}"/>
            </c:ext>
          </c:extLst>
        </c:ser>
        <c:dLbls>
          <c:showLegendKey val="0"/>
          <c:showVal val="0"/>
          <c:showCatName val="0"/>
          <c:showSerName val="0"/>
          <c:showPercent val="0"/>
          <c:showBubbleSize val="0"/>
        </c:dLbls>
        <c:gapWidth val="100"/>
        <c:overlap val="-24"/>
        <c:axId val="477148079"/>
        <c:axId val="477148559"/>
      </c:barChart>
      <c:catAx>
        <c:axId val="477148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77148559"/>
        <c:crosses val="autoZero"/>
        <c:auto val="1"/>
        <c:lblAlgn val="ctr"/>
        <c:lblOffset val="100"/>
        <c:noMultiLvlLbl val="0"/>
      </c:catAx>
      <c:valAx>
        <c:axId val="47714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4807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[Hospital_Data_Analysis_Project (version 1).xlsx]Sheet1!PivotTable12</c:name>
    <c:fmtId val="1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Sheet1!$AF$22:$AF$23</c:f>
              <c:strCache>
                <c:ptCount val="1"/>
                <c:pt idx="0">
                  <c:v>Deceased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Sheet1!$AE$24:$AE$30</c:f>
              <c:strCache>
                <c:ptCount val="6"/>
                <c:pt idx="0">
                  <c:v>Cardiology</c:v>
                </c:pt>
                <c:pt idx="1">
                  <c:v>General Medicine</c:v>
                </c:pt>
                <c:pt idx="2">
                  <c:v>Neurology</c:v>
                </c:pt>
                <c:pt idx="3">
                  <c:v>Oncology</c:v>
                </c:pt>
                <c:pt idx="4">
                  <c:v>Orthopedics</c:v>
                </c:pt>
                <c:pt idx="5">
                  <c:v>Pediatrics</c:v>
                </c:pt>
              </c:strCache>
            </c:strRef>
          </c:cat>
          <c:val>
            <c:numRef>
              <c:f>Sheet1!$AF$24:$AF$30</c:f>
              <c:numCache>
                <c:formatCode>General</c:formatCode>
                <c:ptCount val="6"/>
                <c:pt idx="0">
                  <c:v>37</c:v>
                </c:pt>
                <c:pt idx="1">
                  <c:v>52</c:v>
                </c:pt>
                <c:pt idx="2">
                  <c:v>37</c:v>
                </c:pt>
                <c:pt idx="3">
                  <c:v>55</c:v>
                </c:pt>
                <c:pt idx="4">
                  <c:v>32</c:v>
                </c:pt>
                <c:pt idx="5">
                  <c:v>37</c:v>
                </c:pt>
              </c:numCache>
            </c:numRef>
          </c:val>
          <c:extLst>
            <c:ext xmlns:c16="http://schemas.microsoft.com/office/drawing/2014/chart" uri="{C3380CC4-5D6E-409C-BE32-E72D297353CC}">
              <c16:uniqueId val="{00000000-E47C-41DB-B359-0018C36B77CE}"/>
            </c:ext>
          </c:extLst>
        </c:ser>
        <c:ser>
          <c:idx val="1"/>
          <c:order val="1"/>
          <c:tx>
            <c:strRef>
              <c:f>Sheet1!$AG$22:$AG$23</c:f>
              <c:strCache>
                <c:ptCount val="1"/>
                <c:pt idx="0">
                  <c:v>Discharged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Sheet1!$AE$24:$AE$30</c:f>
              <c:strCache>
                <c:ptCount val="6"/>
                <c:pt idx="0">
                  <c:v>Cardiology</c:v>
                </c:pt>
                <c:pt idx="1">
                  <c:v>General Medicine</c:v>
                </c:pt>
                <c:pt idx="2">
                  <c:v>Neurology</c:v>
                </c:pt>
                <c:pt idx="3">
                  <c:v>Oncology</c:v>
                </c:pt>
                <c:pt idx="4">
                  <c:v>Orthopedics</c:v>
                </c:pt>
                <c:pt idx="5">
                  <c:v>Pediatrics</c:v>
                </c:pt>
              </c:strCache>
            </c:strRef>
          </c:cat>
          <c:val>
            <c:numRef>
              <c:f>Sheet1!$AG$24:$AG$30</c:f>
              <c:numCache>
                <c:formatCode>General</c:formatCode>
                <c:ptCount val="6"/>
                <c:pt idx="0">
                  <c:v>46</c:v>
                </c:pt>
                <c:pt idx="1">
                  <c:v>44</c:v>
                </c:pt>
                <c:pt idx="2">
                  <c:v>49</c:v>
                </c:pt>
                <c:pt idx="3">
                  <c:v>40</c:v>
                </c:pt>
                <c:pt idx="4">
                  <c:v>32</c:v>
                </c:pt>
                <c:pt idx="5">
                  <c:v>53</c:v>
                </c:pt>
              </c:numCache>
            </c:numRef>
          </c:val>
          <c:extLst>
            <c:ext xmlns:c16="http://schemas.microsoft.com/office/drawing/2014/chart" uri="{C3380CC4-5D6E-409C-BE32-E72D297353CC}">
              <c16:uniqueId val="{00000001-E47C-41DB-B359-0018C36B77CE}"/>
            </c:ext>
          </c:extLst>
        </c:ser>
        <c:ser>
          <c:idx val="2"/>
          <c:order val="2"/>
          <c:tx>
            <c:strRef>
              <c:f>Sheet1!$AH$22:$AH$23</c:f>
              <c:strCache>
                <c:ptCount val="1"/>
                <c:pt idx="0">
                  <c:v>Recovered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Sheet1!$AE$24:$AE$30</c:f>
              <c:strCache>
                <c:ptCount val="6"/>
                <c:pt idx="0">
                  <c:v>Cardiology</c:v>
                </c:pt>
                <c:pt idx="1">
                  <c:v>General Medicine</c:v>
                </c:pt>
                <c:pt idx="2">
                  <c:v>Neurology</c:v>
                </c:pt>
                <c:pt idx="3">
                  <c:v>Oncology</c:v>
                </c:pt>
                <c:pt idx="4">
                  <c:v>Orthopedics</c:v>
                </c:pt>
                <c:pt idx="5">
                  <c:v>Pediatrics</c:v>
                </c:pt>
              </c:strCache>
            </c:strRef>
          </c:cat>
          <c:val>
            <c:numRef>
              <c:f>Sheet1!$AH$24:$AH$30</c:f>
              <c:numCache>
                <c:formatCode>General</c:formatCode>
                <c:ptCount val="6"/>
                <c:pt idx="0">
                  <c:v>36</c:v>
                </c:pt>
                <c:pt idx="1">
                  <c:v>45</c:v>
                </c:pt>
                <c:pt idx="2">
                  <c:v>41</c:v>
                </c:pt>
                <c:pt idx="3">
                  <c:v>42</c:v>
                </c:pt>
                <c:pt idx="4">
                  <c:v>35</c:v>
                </c:pt>
                <c:pt idx="5">
                  <c:v>39</c:v>
                </c:pt>
              </c:numCache>
            </c:numRef>
          </c:val>
          <c:extLst>
            <c:ext xmlns:c16="http://schemas.microsoft.com/office/drawing/2014/chart" uri="{C3380CC4-5D6E-409C-BE32-E72D297353CC}">
              <c16:uniqueId val="{00000002-E47C-41DB-B359-0018C36B77CE}"/>
            </c:ext>
          </c:extLst>
        </c:ser>
        <c:ser>
          <c:idx val="3"/>
          <c:order val="3"/>
          <c:tx>
            <c:strRef>
              <c:f>Sheet1!$AI$22:$AI$23</c:f>
              <c:strCache>
                <c:ptCount val="1"/>
                <c:pt idx="0">
                  <c:v>Under Treatment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Sheet1!$AE$24:$AE$30</c:f>
              <c:strCache>
                <c:ptCount val="6"/>
                <c:pt idx="0">
                  <c:v>Cardiology</c:v>
                </c:pt>
                <c:pt idx="1">
                  <c:v>General Medicine</c:v>
                </c:pt>
                <c:pt idx="2">
                  <c:v>Neurology</c:v>
                </c:pt>
                <c:pt idx="3">
                  <c:v>Oncology</c:v>
                </c:pt>
                <c:pt idx="4">
                  <c:v>Orthopedics</c:v>
                </c:pt>
                <c:pt idx="5">
                  <c:v>Pediatrics</c:v>
                </c:pt>
              </c:strCache>
            </c:strRef>
          </c:cat>
          <c:val>
            <c:numRef>
              <c:f>Sheet1!$AI$24:$AI$30</c:f>
              <c:numCache>
                <c:formatCode>General</c:formatCode>
                <c:ptCount val="6"/>
                <c:pt idx="0">
                  <c:v>45</c:v>
                </c:pt>
                <c:pt idx="1">
                  <c:v>40</c:v>
                </c:pt>
                <c:pt idx="2">
                  <c:v>48</c:v>
                </c:pt>
                <c:pt idx="3">
                  <c:v>32</c:v>
                </c:pt>
                <c:pt idx="4">
                  <c:v>37</c:v>
                </c:pt>
                <c:pt idx="5">
                  <c:v>46</c:v>
                </c:pt>
              </c:numCache>
            </c:numRef>
          </c:val>
          <c:extLst>
            <c:ext xmlns:c16="http://schemas.microsoft.com/office/drawing/2014/chart" uri="{C3380CC4-5D6E-409C-BE32-E72D297353CC}">
              <c16:uniqueId val="{00000003-E47C-41DB-B359-0018C36B77CE}"/>
            </c:ext>
          </c:extLst>
        </c:ser>
        <c:dLbls>
          <c:dLblPos val="ctr"/>
          <c:showLegendKey val="0"/>
          <c:showVal val="1"/>
          <c:showCatName val="0"/>
          <c:showSerName val="0"/>
          <c:showPercent val="0"/>
          <c:showBubbleSize val="0"/>
        </c:dLbls>
        <c:gapWidth val="79"/>
        <c:overlap val="100"/>
        <c:axId val="857576239"/>
        <c:axId val="857576719"/>
      </c:barChart>
      <c:catAx>
        <c:axId val="857576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57576719"/>
        <c:crosses val="autoZero"/>
        <c:auto val="1"/>
        <c:lblAlgn val="ctr"/>
        <c:lblOffset val="100"/>
        <c:noMultiLvlLbl val="0"/>
      </c:catAx>
      <c:valAx>
        <c:axId val="857576719"/>
        <c:scaling>
          <c:orientation val="minMax"/>
        </c:scaling>
        <c:delete val="1"/>
        <c:axPos val="l"/>
        <c:numFmt formatCode="General" sourceLinked="1"/>
        <c:majorTickMark val="none"/>
        <c:minorTickMark val="none"/>
        <c:tickLblPos val="nextTo"/>
        <c:crossAx val="85757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[Hospital_Data_Analysis_Project (version 1).xlsx]Sheet1!PivotTable8</c:name>
    <c:fmtId val="3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Patients Handle By each Doctor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Sheet1!$AH$9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Sheet1!$AG$10:$AG$15</c:f>
              <c:strCache>
                <c:ptCount val="5"/>
                <c:pt idx="0">
                  <c:v>Dr. Iyer</c:v>
                </c:pt>
                <c:pt idx="1">
                  <c:v>Dr. Mehta</c:v>
                </c:pt>
                <c:pt idx="2">
                  <c:v>Dr. Patil</c:v>
                </c:pt>
                <c:pt idx="3">
                  <c:v>Dr. Sharma</c:v>
                </c:pt>
                <c:pt idx="4">
                  <c:v>Dr. Singh</c:v>
                </c:pt>
              </c:strCache>
            </c:strRef>
          </c:cat>
          <c:val>
            <c:numRef>
              <c:f>Sheet1!$AH$10:$AH$15</c:f>
              <c:numCache>
                <c:formatCode>General</c:formatCode>
                <c:ptCount val="5"/>
                <c:pt idx="0">
                  <c:v>203</c:v>
                </c:pt>
                <c:pt idx="1">
                  <c:v>203</c:v>
                </c:pt>
                <c:pt idx="2">
                  <c:v>173</c:v>
                </c:pt>
                <c:pt idx="3">
                  <c:v>204</c:v>
                </c:pt>
                <c:pt idx="4">
                  <c:v>217</c:v>
                </c:pt>
              </c:numCache>
            </c:numRef>
          </c:val>
          <c:extLst>
            <c:ext xmlns:c16="http://schemas.microsoft.com/office/drawing/2014/chart" uri="{C3380CC4-5D6E-409C-BE32-E72D297353CC}">
              <c16:uniqueId val="{00000000-4E34-4FD7-90DC-665BDC2B56A1}"/>
            </c:ext>
          </c:extLst>
        </c:ser>
        <c:dLbls>
          <c:showLegendKey val="0"/>
          <c:showVal val="0"/>
          <c:showCatName val="0"/>
          <c:showSerName val="0"/>
          <c:showPercent val="0"/>
          <c:showBubbleSize val="0"/>
        </c:dLbls>
        <c:gapWidth val="150"/>
        <c:shape val="box"/>
        <c:axId val="737188815"/>
        <c:axId val="737191215"/>
        <c:axId val="0"/>
      </c:bar3DChart>
      <c:catAx>
        <c:axId val="737188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37191215"/>
        <c:crosses val="autoZero"/>
        <c:auto val="1"/>
        <c:lblAlgn val="ctr"/>
        <c:lblOffset val="100"/>
        <c:noMultiLvlLbl val="0"/>
      </c:catAx>
      <c:valAx>
        <c:axId val="73719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3718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[Hospital_Data_Analysis_Project (version 1).xlsx]Sheet1!PivotTable10</c:name>
    <c:fmtId val="2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Average length Of Stay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A12758F-BE1A-459D-87B7-DF90DBD8E577}" type="VALUE">
                  <a:rPr lang="en-US"/>
                  <a:pPr>
                    <a:defRPr sz="900" b="0"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A12758F-BE1A-459D-87B7-DF90DBD8E577}" type="VALUE">
                  <a:rPr lang="en-US"/>
                  <a:pPr>
                    <a:defRPr sz="900" b="0"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A12758F-BE1A-459D-87B7-DF90DBD8E577}" type="VALUE">
                  <a:rPr lang="en-US"/>
                  <a:pPr>
                    <a:defRPr sz="900" b="0"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A12758F-BE1A-459D-87B7-DF90DBD8E577}" type="VALUE">
                  <a:rPr lang="en-US"/>
                  <a:pPr>
                    <a:defRPr sz="900" b="0"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6A12758F-BE1A-459D-87B7-DF90DBD8E577}"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Sheet1!$AN$9</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E36-4EE8-9B4E-D168137705E2}"/>
              </c:ext>
            </c:extLst>
          </c:dPt>
          <c:dLbls>
            <c:dLbl>
              <c:idx val="0"/>
              <c:tx>
                <c:rich>
                  <a:bodyPr/>
                  <a:lstStyle/>
                  <a:p>
                    <a:fld id="{6A12758F-BE1A-459D-87B7-DF90DBD8E577}" type="VALUE">
                      <a:rPr lang="en-US"/>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E36-4EE8-9B4E-D168137705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Sheet1!$AM$10:$AM$15</c:f>
              <c:strCache>
                <c:ptCount val="5"/>
                <c:pt idx="0">
                  <c:v>Dr. Iyer</c:v>
                </c:pt>
                <c:pt idx="1">
                  <c:v>Dr. Mehta</c:v>
                </c:pt>
                <c:pt idx="2">
                  <c:v>Dr. Patil</c:v>
                </c:pt>
                <c:pt idx="3">
                  <c:v>Dr. Sharma</c:v>
                </c:pt>
                <c:pt idx="4">
                  <c:v>Dr. Singh</c:v>
                </c:pt>
              </c:strCache>
            </c:strRef>
          </c:cat>
          <c:val>
            <c:numRef>
              <c:f>Sheet1!$AN$10:$AN$15</c:f>
              <c:numCache>
                <c:formatCode>General</c:formatCode>
                <c:ptCount val="5"/>
                <c:pt idx="0">
                  <c:v>9.931034482758621</c:v>
                </c:pt>
                <c:pt idx="1">
                  <c:v>10.729064039408867</c:v>
                </c:pt>
                <c:pt idx="2">
                  <c:v>10.502890173410405</c:v>
                </c:pt>
                <c:pt idx="3">
                  <c:v>10.171568627450981</c:v>
                </c:pt>
                <c:pt idx="4">
                  <c:v>10.387096774193548</c:v>
                </c:pt>
              </c:numCache>
            </c:numRef>
          </c:val>
          <c:extLst>
            <c:ext xmlns:c16="http://schemas.microsoft.com/office/drawing/2014/chart" uri="{C3380CC4-5D6E-409C-BE32-E72D297353CC}">
              <c16:uniqueId val="{00000002-2E36-4EE8-9B4E-D168137705E2}"/>
            </c:ext>
          </c:extLst>
        </c:ser>
        <c:dLbls>
          <c:dLblPos val="ctr"/>
          <c:showLegendKey val="0"/>
          <c:showVal val="1"/>
          <c:showCatName val="0"/>
          <c:showSerName val="0"/>
          <c:showPercent val="0"/>
          <c:showBubbleSize val="0"/>
        </c:dLbls>
        <c:gapWidth val="79"/>
        <c:overlap val="100"/>
        <c:axId val="1697690687"/>
        <c:axId val="873121759"/>
      </c:barChart>
      <c:catAx>
        <c:axId val="1697690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73121759"/>
        <c:crosses val="autoZero"/>
        <c:auto val="1"/>
        <c:lblAlgn val="ctr"/>
        <c:lblOffset val="100"/>
        <c:noMultiLvlLbl val="0"/>
      </c:catAx>
      <c:valAx>
        <c:axId val="873121759"/>
        <c:scaling>
          <c:orientation val="minMax"/>
        </c:scaling>
        <c:delete val="1"/>
        <c:axPos val="l"/>
        <c:numFmt formatCode="General" sourceLinked="1"/>
        <c:majorTickMark val="none"/>
        <c:minorTickMark val="none"/>
        <c:tickLblPos val="nextTo"/>
        <c:crossAx val="169769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[Hospital_Data_Analysis_Project (version 1).xlsx]Sheet1!PivotTable13</c:name>
    <c:fmtId val="1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Sheet1!$AN$25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AAD-4B6F-BD0E-31E20BE7482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AAD-4B6F-BD0E-31E20BE7482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Sheet1!$AM$26:$AM$28</c:f>
              <c:strCache>
                <c:ptCount val="2"/>
                <c:pt idx="0">
                  <c:v>No</c:v>
                </c:pt>
                <c:pt idx="1">
                  <c:v>Yes</c:v>
                </c:pt>
              </c:strCache>
            </c:strRef>
          </c:cat>
          <c:val>
            <c:numRef>
              <c:f>Sheet1!$AN$26:$AN$28</c:f>
              <c:numCache>
                <c:formatCode>General</c:formatCode>
                <c:ptCount val="2"/>
                <c:pt idx="0">
                  <c:v>67462994</c:v>
                </c:pt>
                <c:pt idx="1">
                  <c:v>57304181</c:v>
                </c:pt>
              </c:numCache>
            </c:numRef>
          </c:val>
          <c:extLst>
            <c:ext xmlns:c16="http://schemas.microsoft.com/office/drawing/2014/chart" uri="{C3380CC4-5D6E-409C-BE32-E72D297353CC}">
              <c16:uniqueId val="{00000004-FAAD-4B6F-BD0E-31E20BE748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742323756040582"/>
          <c:y val="0.14445667192721251"/>
          <c:w val="0.24524816851554221"/>
          <c:h val="0.2281131158726367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[Hospital_Data_Analysis_Project (version 1).xlsx]Sheet1!PivotTable14</c:name>
    <c:fmtId val="2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Sheet1!$AR$26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5BD-4EAD-8AFC-D1CBE4FDA97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5BD-4EAD-8AFC-D1CBE4FDA97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5BD-4EAD-8AFC-D1CBE4FDA9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Sheet1!$AQ$27:$AQ$30</c:f>
              <c:strCache>
                <c:ptCount val="3"/>
                <c:pt idx="0">
                  <c:v>Card</c:v>
                </c:pt>
                <c:pt idx="1">
                  <c:v>Cash</c:v>
                </c:pt>
                <c:pt idx="2">
                  <c:v>Insurance</c:v>
                </c:pt>
              </c:strCache>
            </c:strRef>
          </c:cat>
          <c:val>
            <c:numRef>
              <c:f>Sheet1!$AR$27:$AR$30</c:f>
              <c:numCache>
                <c:formatCode>General</c:formatCode>
                <c:ptCount val="3"/>
                <c:pt idx="0">
                  <c:v>350</c:v>
                </c:pt>
                <c:pt idx="1">
                  <c:v>334</c:v>
                </c:pt>
                <c:pt idx="2">
                  <c:v>316</c:v>
                </c:pt>
              </c:numCache>
            </c:numRef>
          </c:val>
          <c:extLst>
            <c:ext xmlns:c16="http://schemas.microsoft.com/office/drawing/2014/chart" uri="{C3380CC4-5D6E-409C-BE32-E72D297353CC}">
              <c16:uniqueId val="{00000006-D5BD-4EAD-8AFC-D1CBE4FDA97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[Hospital_Data_Analysis_Project (version 1).xlsx]Sheet1!PivotTable4</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Departmnt wise doctors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Sheet1!$U$40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Sheet1!$T$41:$T$47</c:f>
              <c:strCache>
                <c:ptCount val="6"/>
                <c:pt idx="0">
                  <c:v>Cardiology</c:v>
                </c:pt>
                <c:pt idx="1">
                  <c:v>General Medicine</c:v>
                </c:pt>
                <c:pt idx="2">
                  <c:v>Neurology</c:v>
                </c:pt>
                <c:pt idx="3">
                  <c:v>Oncology</c:v>
                </c:pt>
                <c:pt idx="4">
                  <c:v>Orthopedics</c:v>
                </c:pt>
                <c:pt idx="5">
                  <c:v>Pediatrics</c:v>
                </c:pt>
              </c:strCache>
            </c:strRef>
          </c:cat>
          <c:val>
            <c:numRef>
              <c:f>Sheet1!$U$41:$U$47</c:f>
              <c:numCache>
                <c:formatCode>General</c:formatCode>
                <c:ptCount val="6"/>
                <c:pt idx="0">
                  <c:v>164</c:v>
                </c:pt>
                <c:pt idx="1">
                  <c:v>181</c:v>
                </c:pt>
                <c:pt idx="2">
                  <c:v>175</c:v>
                </c:pt>
                <c:pt idx="3">
                  <c:v>169</c:v>
                </c:pt>
                <c:pt idx="4">
                  <c:v>136</c:v>
                </c:pt>
                <c:pt idx="5">
                  <c:v>175</c:v>
                </c:pt>
              </c:numCache>
            </c:numRef>
          </c:val>
          <c:extLst>
            <c:ext xmlns:c16="http://schemas.microsoft.com/office/drawing/2014/chart" uri="{C3380CC4-5D6E-409C-BE32-E72D297353CC}">
              <c16:uniqueId val="{00000000-9FB1-42E9-A912-BF41052EB549}"/>
            </c:ext>
          </c:extLst>
        </c:ser>
        <c:dLbls>
          <c:showLegendKey val="0"/>
          <c:showVal val="0"/>
          <c:showCatName val="0"/>
          <c:showSerName val="0"/>
          <c:showPercent val="0"/>
          <c:showBubbleSize val="0"/>
        </c:dLbls>
        <c:gapWidth val="100"/>
        <c:overlap val="-24"/>
        <c:axId val="1613017839"/>
        <c:axId val="1613031279"/>
      </c:barChart>
      <c:catAx>
        <c:axId val="1613017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031279"/>
        <c:crosses val="autoZero"/>
        <c:auto val="1"/>
        <c:lblAlgn val="ctr"/>
        <c:lblOffset val="100"/>
        <c:noMultiLvlLbl val="0"/>
      </c:catAx>
      <c:valAx>
        <c:axId val="161303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01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7.xml"/><Relationship Id="rId18" Type="http://schemas.openxmlformats.org/officeDocument/2006/relationships/chart" Target="../charts/chart12.xml"/><Relationship Id="rId3" Type="http://schemas.openxmlformats.org/officeDocument/2006/relationships/image" Target="../media/image2.png"/><Relationship Id="rId21" Type="http://schemas.openxmlformats.org/officeDocument/2006/relationships/chart" Target="../charts/chart15.xml"/><Relationship Id="rId7" Type="http://schemas.openxmlformats.org/officeDocument/2006/relationships/chart" Target="../charts/chart5.xml"/><Relationship Id="rId12" Type="http://schemas.openxmlformats.org/officeDocument/2006/relationships/image" Target="../media/image7.png"/><Relationship Id="rId17" Type="http://schemas.openxmlformats.org/officeDocument/2006/relationships/chart" Target="../charts/chart11.xml"/><Relationship Id="rId2" Type="http://schemas.openxmlformats.org/officeDocument/2006/relationships/image" Target="../media/image1.png"/><Relationship Id="rId16" Type="http://schemas.openxmlformats.org/officeDocument/2006/relationships/chart" Target="../charts/chart10.xml"/><Relationship Id="rId20" Type="http://schemas.openxmlformats.org/officeDocument/2006/relationships/chart" Target="../charts/chart14.xml"/><Relationship Id="rId1" Type="http://schemas.openxmlformats.org/officeDocument/2006/relationships/chart" Target="../charts/chart2.xml"/><Relationship Id="rId6" Type="http://schemas.openxmlformats.org/officeDocument/2006/relationships/chart" Target="../charts/chart4.xml"/><Relationship Id="rId11" Type="http://schemas.openxmlformats.org/officeDocument/2006/relationships/image" Target="../media/image6.png"/><Relationship Id="rId5" Type="http://schemas.openxmlformats.org/officeDocument/2006/relationships/chart" Target="../charts/chart3.xml"/><Relationship Id="rId15" Type="http://schemas.openxmlformats.org/officeDocument/2006/relationships/chart" Target="../charts/chart9.xml"/><Relationship Id="rId10" Type="http://schemas.openxmlformats.org/officeDocument/2006/relationships/image" Target="../media/image5.png"/><Relationship Id="rId19" Type="http://schemas.openxmlformats.org/officeDocument/2006/relationships/chart" Target="../charts/chart13.xml"/><Relationship Id="rId4" Type="http://schemas.openxmlformats.org/officeDocument/2006/relationships/image" Target="../media/image3.png"/><Relationship Id="rId9" Type="http://schemas.openxmlformats.org/officeDocument/2006/relationships/image" Target="../media/image4.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51</xdr:col>
      <xdr:colOff>0</xdr:colOff>
      <xdr:row>19</xdr:row>
      <xdr:rowOff>0</xdr:rowOff>
    </xdr:from>
    <xdr:to>
      <xdr:col>56</xdr:col>
      <xdr:colOff>1100457</xdr:colOff>
      <xdr:row>34</xdr:row>
      <xdr:rowOff>20421</xdr:rowOff>
    </xdr:to>
    <xdr:graphicFrame macro="">
      <xdr:nvGraphicFramePr>
        <xdr:cNvPr id="8" name="Chart 7">
          <a:extLst>
            <a:ext uri="{FF2B5EF4-FFF2-40B4-BE49-F238E27FC236}">
              <a16:creationId xmlns:a16="http://schemas.microsoft.com/office/drawing/2014/main" id="{4527EFE4-63FE-4695-B3BD-6330D5768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120091</xdr:colOff>
      <xdr:row>4</xdr:row>
      <xdr:rowOff>1</xdr:rowOff>
    </xdr:from>
    <xdr:to>
      <xdr:col>6</xdr:col>
      <xdr:colOff>377426</xdr:colOff>
      <xdr:row>14</xdr:row>
      <xdr:rowOff>0</xdr:rowOff>
    </xdr:to>
    <xdr:sp macro="" textlink="">
      <xdr:nvSpPr>
        <xdr:cNvPr id="9" name="Rectangle: Rounded Corners 8">
          <a:extLst>
            <a:ext uri="{FF2B5EF4-FFF2-40B4-BE49-F238E27FC236}">
              <a16:creationId xmlns:a16="http://schemas.microsoft.com/office/drawing/2014/main" id="{590A250C-FECE-03DC-DB88-415C80DE3385}"/>
            </a:ext>
          </a:extLst>
        </xdr:cNvPr>
        <xdr:cNvSpPr/>
      </xdr:nvSpPr>
      <xdr:spPr>
        <a:xfrm>
          <a:off x="1972908" y="754852"/>
          <a:ext cx="2110155" cy="1887128"/>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548981</xdr:colOff>
      <xdr:row>4</xdr:row>
      <xdr:rowOff>-1</xdr:rowOff>
    </xdr:from>
    <xdr:to>
      <xdr:col>28</xdr:col>
      <xdr:colOff>343112</xdr:colOff>
      <xdr:row>14</xdr:row>
      <xdr:rowOff>0</xdr:rowOff>
    </xdr:to>
    <xdr:sp macro="" textlink="">
      <xdr:nvSpPr>
        <xdr:cNvPr id="10" name="Rectangle: Rounded Corners 9">
          <a:extLst>
            <a:ext uri="{FF2B5EF4-FFF2-40B4-BE49-F238E27FC236}">
              <a16:creationId xmlns:a16="http://schemas.microsoft.com/office/drawing/2014/main" id="{9E788269-61A4-CEC8-56E5-339BC08126AF}"/>
            </a:ext>
          </a:extLst>
        </xdr:cNvPr>
        <xdr:cNvSpPr/>
      </xdr:nvSpPr>
      <xdr:spPr>
        <a:xfrm>
          <a:off x="4254618" y="754850"/>
          <a:ext cx="13381462" cy="188713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6600" b="1">
              <a:solidFill>
                <a:schemeClr val="dk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Hospital Data Analysis</a:t>
          </a:r>
          <a:endParaRPr lang="en-IN" sz="6600">
            <a:effectLst/>
            <a:latin typeface="Times New Roman" panose="02020603050405020304" pitchFamily="18" charset="0"/>
            <a:cs typeface="Times New Roman" panose="02020603050405020304" pitchFamily="18" charset="0"/>
          </a:endParaRPr>
        </a:p>
        <a:p>
          <a:pPr algn="l"/>
          <a:endParaRPr lang="en-IN" sz="1100" kern="1200"/>
        </a:p>
      </xdr:txBody>
    </xdr:sp>
    <xdr:clientData/>
  </xdr:twoCellAnchor>
  <xdr:twoCellAnchor>
    <xdr:from>
      <xdr:col>3</xdr:col>
      <xdr:colOff>120091</xdr:colOff>
      <xdr:row>15</xdr:row>
      <xdr:rowOff>1</xdr:rowOff>
    </xdr:from>
    <xdr:to>
      <xdr:col>6</xdr:col>
      <xdr:colOff>377426</xdr:colOff>
      <xdr:row>39</xdr:row>
      <xdr:rowOff>75364</xdr:rowOff>
    </xdr:to>
    <xdr:sp macro="" textlink="">
      <xdr:nvSpPr>
        <xdr:cNvPr id="11" name="Rectangle: Rounded Corners 10">
          <a:extLst>
            <a:ext uri="{FF2B5EF4-FFF2-40B4-BE49-F238E27FC236}">
              <a16:creationId xmlns:a16="http://schemas.microsoft.com/office/drawing/2014/main" id="{9B2B3E1C-63DF-49BC-B8EF-100F3A79933C}"/>
            </a:ext>
          </a:extLst>
        </xdr:cNvPr>
        <xdr:cNvSpPr/>
      </xdr:nvSpPr>
      <xdr:spPr>
        <a:xfrm>
          <a:off x="1966475" y="2826099"/>
          <a:ext cx="2103721" cy="459712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548980</xdr:colOff>
      <xdr:row>15</xdr:row>
      <xdr:rowOff>0</xdr:rowOff>
    </xdr:from>
    <xdr:to>
      <xdr:col>11</xdr:col>
      <xdr:colOff>-1</xdr:colOff>
      <xdr:row>20</xdr:row>
      <xdr:rowOff>128627</xdr:rowOff>
    </xdr:to>
    <xdr:sp macro="" textlink="">
      <xdr:nvSpPr>
        <xdr:cNvPr id="13" name="Rectangle: Rounded Corners 12">
          <a:extLst>
            <a:ext uri="{FF2B5EF4-FFF2-40B4-BE49-F238E27FC236}">
              <a16:creationId xmlns:a16="http://schemas.microsoft.com/office/drawing/2014/main" id="{A077D5C9-DE04-4383-A159-DCA6DF1D4EDE}"/>
            </a:ext>
          </a:extLst>
        </xdr:cNvPr>
        <xdr:cNvSpPr/>
      </xdr:nvSpPr>
      <xdr:spPr>
        <a:xfrm>
          <a:off x="4300365" y="2735385"/>
          <a:ext cx="2577173" cy="104042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b="0" i="0" u="none" strike="noStrike">
              <a:solidFill>
                <a:schemeClr val="lt1"/>
              </a:solidFill>
              <a:effectLst/>
              <a:latin typeface="Times New Roman" panose="02020603050405020304" pitchFamily="18" charset="0"/>
              <a:ea typeface="+mn-ea"/>
              <a:cs typeface="Times New Roman" panose="02020603050405020304" pitchFamily="18" charset="0"/>
            </a:rPr>
            <a:t> </a:t>
          </a:r>
          <a:r>
            <a:rPr lang="en-IN" sz="1600" b="1" i="0" u="none" strike="noStrike">
              <a:solidFill>
                <a:schemeClr val="tx1"/>
              </a:solidFill>
              <a:effectLst/>
              <a:latin typeface="Times New Roman" panose="02020603050405020304" pitchFamily="18" charset="0"/>
              <a:ea typeface="+mn-ea"/>
              <a:cs typeface="Times New Roman" panose="02020603050405020304" pitchFamily="18" charset="0"/>
            </a:rPr>
            <a:t>₹</a:t>
          </a:r>
          <a:r>
            <a:rPr lang="en-IN" sz="1600" b="1" i="0" u="none" strike="noStrike" baseline="0">
              <a:solidFill>
                <a:schemeClr val="tx1"/>
              </a:solidFill>
              <a:effectLst/>
              <a:latin typeface="Times New Roman" panose="02020603050405020304" pitchFamily="18" charset="0"/>
              <a:ea typeface="+mn-ea"/>
              <a:cs typeface="Times New Roman" panose="02020603050405020304" pitchFamily="18" charset="0"/>
            </a:rPr>
            <a:t> </a:t>
          </a:r>
          <a:r>
            <a:rPr lang="en-IN" sz="1600" b="1" i="0" u="none" strike="noStrike">
              <a:solidFill>
                <a:schemeClr val="tx1"/>
              </a:solidFill>
              <a:effectLst/>
              <a:latin typeface="Times New Roman" panose="02020603050405020304" pitchFamily="18" charset="0"/>
              <a:ea typeface="+mn-ea"/>
              <a:cs typeface="Times New Roman" panose="02020603050405020304" pitchFamily="18" charset="0"/>
            </a:rPr>
            <a:t>12,47,67,175.00 </a:t>
          </a:r>
          <a:r>
            <a:rPr lang="en-IN" sz="1600" b="1">
              <a:solidFill>
                <a:schemeClr val="tx1"/>
              </a:solidFill>
              <a:effectLst/>
              <a:latin typeface="Times New Roman" panose="02020603050405020304" pitchFamily="18" charset="0"/>
              <a:cs typeface="Times New Roman" panose="02020603050405020304" pitchFamily="18" charset="0"/>
            </a:rPr>
            <a:t> </a:t>
          </a:r>
          <a:br>
            <a:rPr lang="en-IN" sz="1600" b="1">
              <a:effectLst/>
              <a:latin typeface="Times New Roman" panose="02020603050405020304" pitchFamily="18" charset="0"/>
              <a:cs typeface="Times New Roman" panose="02020603050405020304" pitchFamily="18" charset="0"/>
            </a:rPr>
          </a:br>
          <a:r>
            <a:rPr lang="en-IN" sz="1600" b="1">
              <a:effectLst/>
              <a:latin typeface="Times New Roman" panose="02020603050405020304" pitchFamily="18" charset="0"/>
              <a:cs typeface="Times New Roman" panose="02020603050405020304" pitchFamily="18" charset="0"/>
            </a:rPr>
            <a:t>Total Revenue</a:t>
          </a:r>
          <a:endParaRPr lang="en-IN" sz="1600" b="1" kern="1200">
            <a:latin typeface="Times New Roman" panose="02020603050405020304" pitchFamily="18" charset="0"/>
            <a:cs typeface="Times New Roman" panose="02020603050405020304" pitchFamily="18" charset="0"/>
          </a:endParaRPr>
        </a:p>
      </xdr:txBody>
    </xdr:sp>
    <xdr:clientData/>
  </xdr:twoCellAnchor>
  <xdr:twoCellAnchor>
    <xdr:from>
      <xdr:col>11</xdr:col>
      <xdr:colOff>234460</xdr:colOff>
      <xdr:row>14</xdr:row>
      <xdr:rowOff>182358</xdr:rowOff>
    </xdr:from>
    <xdr:to>
      <xdr:col>15</xdr:col>
      <xdr:colOff>311835</xdr:colOff>
      <xdr:row>20</xdr:row>
      <xdr:rowOff>156307</xdr:rowOff>
    </xdr:to>
    <xdr:sp macro="" textlink="">
      <xdr:nvSpPr>
        <xdr:cNvPr id="14" name="Rectangle: Rounded Corners 13">
          <a:extLst>
            <a:ext uri="{FF2B5EF4-FFF2-40B4-BE49-F238E27FC236}">
              <a16:creationId xmlns:a16="http://schemas.microsoft.com/office/drawing/2014/main" id="{91DD5135-719E-401E-A5F3-2808DB0F410E}"/>
            </a:ext>
          </a:extLst>
        </xdr:cNvPr>
        <xdr:cNvSpPr/>
      </xdr:nvSpPr>
      <xdr:spPr>
        <a:xfrm>
          <a:off x="7111999" y="2735384"/>
          <a:ext cx="2578297" cy="106810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b="1" i="0" u="none" strike="noStrike">
              <a:solidFill>
                <a:schemeClr val="lt1"/>
              </a:solidFill>
              <a:effectLst/>
              <a:latin typeface="Times New Roman" panose="02020603050405020304" pitchFamily="18" charset="0"/>
              <a:ea typeface="+mn-ea"/>
              <a:cs typeface="Times New Roman" panose="02020603050405020304" pitchFamily="18" charset="0"/>
            </a:rPr>
            <a:t> </a:t>
          </a:r>
          <a:r>
            <a:rPr lang="en-IN" sz="1600" b="1" i="0" u="none" strike="noStrike">
              <a:solidFill>
                <a:schemeClr val="dk1"/>
              </a:solidFill>
              <a:effectLst/>
              <a:latin typeface="Times New Roman" panose="02020603050405020304" pitchFamily="18" charset="0"/>
              <a:ea typeface="+mn-ea"/>
              <a:cs typeface="Times New Roman" panose="02020603050405020304" pitchFamily="18" charset="0"/>
            </a:rPr>
            <a:t>1000</a:t>
          </a:r>
          <a:r>
            <a:rPr lang="en-IN" sz="1600" b="1">
              <a:effectLst/>
              <a:latin typeface="Times New Roman" panose="02020603050405020304" pitchFamily="18" charset="0"/>
              <a:cs typeface="Times New Roman" panose="02020603050405020304" pitchFamily="18" charset="0"/>
            </a:rPr>
            <a:t> </a:t>
          </a:r>
          <a:br>
            <a:rPr lang="en-IN" sz="1600" b="1">
              <a:effectLst/>
              <a:latin typeface="Times New Roman" panose="02020603050405020304" pitchFamily="18" charset="0"/>
              <a:cs typeface="Times New Roman" panose="02020603050405020304" pitchFamily="18" charset="0"/>
            </a:rPr>
          </a:br>
          <a:r>
            <a:rPr lang="en-IN" sz="1600" b="1">
              <a:effectLst/>
              <a:latin typeface="Times New Roman" panose="02020603050405020304" pitchFamily="18" charset="0"/>
              <a:cs typeface="Times New Roman" panose="02020603050405020304" pitchFamily="18" charset="0"/>
            </a:rPr>
            <a:t>Total Patients</a:t>
          </a:r>
          <a:endParaRPr lang="en-IN" sz="1600" b="1" kern="1200">
            <a:latin typeface="Times New Roman" panose="02020603050405020304" pitchFamily="18" charset="0"/>
            <a:cs typeface="Times New Roman" panose="02020603050405020304" pitchFamily="18" charset="0"/>
          </a:endParaRPr>
        </a:p>
      </xdr:txBody>
    </xdr:sp>
    <xdr:clientData/>
  </xdr:twoCellAnchor>
  <xdr:twoCellAnchor>
    <xdr:from>
      <xdr:col>15</xdr:col>
      <xdr:colOff>481162</xdr:colOff>
      <xdr:row>15</xdr:row>
      <xdr:rowOff>0</xdr:rowOff>
    </xdr:from>
    <xdr:to>
      <xdr:col>20</xdr:col>
      <xdr:colOff>-1</xdr:colOff>
      <xdr:row>20</xdr:row>
      <xdr:rowOff>156307</xdr:rowOff>
    </xdr:to>
    <xdr:sp macro="" textlink="">
      <xdr:nvSpPr>
        <xdr:cNvPr id="15" name="Rectangle: Rounded Corners 14">
          <a:extLst>
            <a:ext uri="{FF2B5EF4-FFF2-40B4-BE49-F238E27FC236}">
              <a16:creationId xmlns:a16="http://schemas.microsoft.com/office/drawing/2014/main" id="{F129A0B4-6C30-40A8-97C6-1C41815F85CB}"/>
            </a:ext>
          </a:extLst>
        </xdr:cNvPr>
        <xdr:cNvSpPr/>
      </xdr:nvSpPr>
      <xdr:spPr>
        <a:xfrm>
          <a:off x="9859623" y="2735385"/>
          <a:ext cx="2644991" cy="106810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b="1" i="0" u="none" strike="noStrike">
              <a:solidFill>
                <a:schemeClr val="lt1"/>
              </a:solidFill>
              <a:effectLst/>
              <a:latin typeface="Times New Roman" panose="02020603050405020304" pitchFamily="18" charset="0"/>
              <a:ea typeface="+mn-ea"/>
              <a:cs typeface="Times New Roman" panose="02020603050405020304" pitchFamily="18" charset="0"/>
            </a:rPr>
            <a:t> </a:t>
          </a:r>
          <a:r>
            <a:rPr lang="en-IN" sz="1600" b="1" i="0" u="none" strike="noStrike">
              <a:solidFill>
                <a:schemeClr val="dk1"/>
              </a:solidFill>
              <a:effectLst/>
              <a:latin typeface="Times New Roman" panose="02020603050405020304" pitchFamily="18" charset="0"/>
              <a:ea typeface="+mn-ea"/>
              <a:cs typeface="Times New Roman" panose="02020603050405020304" pitchFamily="18" charset="0"/>
            </a:rPr>
            <a:t>124767.175</a:t>
          </a:r>
        </a:p>
        <a:p>
          <a:pPr algn="l"/>
          <a:r>
            <a:rPr lang="en-IN" sz="1600" b="1">
              <a:effectLst/>
              <a:latin typeface="Times New Roman" panose="02020603050405020304" pitchFamily="18" charset="0"/>
              <a:cs typeface="Times New Roman" panose="02020603050405020304" pitchFamily="18" charset="0"/>
            </a:rPr>
            <a:t>Average</a:t>
          </a:r>
          <a:r>
            <a:rPr lang="en-IN" sz="1600" b="1" baseline="0">
              <a:effectLst/>
              <a:latin typeface="Times New Roman" panose="02020603050405020304" pitchFamily="18" charset="0"/>
              <a:cs typeface="Times New Roman" panose="02020603050405020304" pitchFamily="18" charset="0"/>
            </a:rPr>
            <a:t> Treatment cost</a:t>
          </a:r>
          <a:endParaRPr lang="en-IN" sz="1600" b="1" kern="1200">
            <a:latin typeface="Times New Roman" panose="02020603050405020304" pitchFamily="18" charset="0"/>
            <a:cs typeface="Times New Roman" panose="02020603050405020304" pitchFamily="18" charset="0"/>
          </a:endParaRPr>
        </a:p>
      </xdr:txBody>
    </xdr:sp>
    <xdr:clientData/>
  </xdr:twoCellAnchor>
  <xdr:twoCellAnchor>
    <xdr:from>
      <xdr:col>20</xdr:col>
      <xdr:colOff>129939</xdr:colOff>
      <xdr:row>14</xdr:row>
      <xdr:rowOff>141652</xdr:rowOff>
    </xdr:from>
    <xdr:to>
      <xdr:col>24</xdr:col>
      <xdr:colOff>274006</xdr:colOff>
      <xdr:row>20</xdr:row>
      <xdr:rowOff>115600</xdr:rowOff>
    </xdr:to>
    <xdr:sp macro="" textlink="">
      <xdr:nvSpPr>
        <xdr:cNvPr id="18" name="Rectangle: Rounded Corners 17">
          <a:extLst>
            <a:ext uri="{FF2B5EF4-FFF2-40B4-BE49-F238E27FC236}">
              <a16:creationId xmlns:a16="http://schemas.microsoft.com/office/drawing/2014/main" id="{6B99B9D3-A1DC-4248-95A9-B5EA443A1771}"/>
            </a:ext>
          </a:extLst>
        </xdr:cNvPr>
        <xdr:cNvSpPr/>
      </xdr:nvSpPr>
      <xdr:spPr>
        <a:xfrm>
          <a:off x="12634554" y="2694678"/>
          <a:ext cx="2644991" cy="106810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b="1" i="0">
              <a:solidFill>
                <a:schemeClr val="dk1"/>
              </a:solidFill>
              <a:effectLst/>
              <a:latin typeface="Times New Roman" panose="02020603050405020304" pitchFamily="18" charset="0"/>
              <a:ea typeface="+mn-ea"/>
              <a:cs typeface="Times New Roman" panose="02020603050405020304" pitchFamily="18" charset="0"/>
            </a:rPr>
            <a:t> 10.34</a:t>
          </a:r>
          <a:r>
            <a:rPr lang="en-IN" sz="1600" b="1">
              <a:solidFill>
                <a:schemeClr val="dk1"/>
              </a:solidFill>
              <a:effectLst/>
              <a:latin typeface="Times New Roman" panose="02020603050405020304" pitchFamily="18" charset="0"/>
              <a:ea typeface="+mn-ea"/>
              <a:cs typeface="Times New Roman" panose="02020603050405020304" pitchFamily="18" charset="0"/>
            </a:rPr>
            <a:t> </a:t>
          </a:r>
          <a:endParaRPr lang="en-IN" sz="1600">
            <a:effectLst/>
            <a:latin typeface="Times New Roman" panose="02020603050405020304" pitchFamily="18" charset="0"/>
            <a:cs typeface="Times New Roman" panose="02020603050405020304" pitchFamily="18" charset="0"/>
          </a:endParaRPr>
        </a:p>
        <a:p>
          <a:pPr algn="l"/>
          <a:r>
            <a:rPr lang="en-IN" sz="1600" b="1">
              <a:solidFill>
                <a:schemeClr val="dk1"/>
              </a:solidFill>
              <a:effectLst/>
              <a:latin typeface="Times New Roman" panose="02020603050405020304" pitchFamily="18" charset="0"/>
              <a:ea typeface="+mn-ea"/>
              <a:cs typeface="Times New Roman" panose="02020603050405020304" pitchFamily="18" charset="0"/>
            </a:rPr>
            <a:t>Average</a:t>
          </a:r>
          <a:r>
            <a:rPr lang="en-IN" sz="1600" b="1" baseline="0">
              <a:solidFill>
                <a:schemeClr val="dk1"/>
              </a:solidFill>
              <a:effectLst/>
              <a:latin typeface="Times New Roman" panose="02020603050405020304" pitchFamily="18" charset="0"/>
              <a:ea typeface="+mn-ea"/>
              <a:cs typeface="Times New Roman" panose="02020603050405020304" pitchFamily="18" charset="0"/>
            </a:rPr>
            <a:t> Length of Days</a:t>
          </a:r>
          <a:endParaRPr lang="en-IN" sz="1600">
            <a:effectLst/>
            <a:latin typeface="Times New Roman" panose="02020603050405020304" pitchFamily="18" charset="0"/>
            <a:cs typeface="Times New Roman" panose="02020603050405020304" pitchFamily="18" charset="0"/>
          </a:endParaRPr>
        </a:p>
      </xdr:txBody>
    </xdr:sp>
    <xdr:clientData/>
  </xdr:twoCellAnchor>
  <xdr:twoCellAnchor>
    <xdr:from>
      <xdr:col>24</xdr:col>
      <xdr:colOff>468137</xdr:colOff>
      <xdr:row>14</xdr:row>
      <xdr:rowOff>182358</xdr:rowOff>
    </xdr:from>
    <xdr:to>
      <xdr:col>28</xdr:col>
      <xdr:colOff>343112</xdr:colOff>
      <xdr:row>20</xdr:row>
      <xdr:rowOff>115599</xdr:rowOff>
    </xdr:to>
    <xdr:sp macro="" textlink="">
      <xdr:nvSpPr>
        <xdr:cNvPr id="19" name="Rectangle: Rounded Corners 18">
          <a:extLst>
            <a:ext uri="{FF2B5EF4-FFF2-40B4-BE49-F238E27FC236}">
              <a16:creationId xmlns:a16="http://schemas.microsoft.com/office/drawing/2014/main" id="{316038E5-2518-4816-880C-03CE3916809B}"/>
            </a:ext>
          </a:extLst>
        </xdr:cNvPr>
        <xdr:cNvSpPr/>
      </xdr:nvSpPr>
      <xdr:spPr>
        <a:xfrm>
          <a:off x="15290681" y="2824338"/>
          <a:ext cx="2345399" cy="10655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b="1" i="0">
              <a:solidFill>
                <a:schemeClr val="dk1"/>
              </a:solidFill>
              <a:effectLst/>
              <a:latin typeface="Times New Roman" panose="02020603050405020304" pitchFamily="18" charset="0"/>
              <a:ea typeface="+mn-ea"/>
              <a:cs typeface="Times New Roman" panose="02020603050405020304" pitchFamily="18" charset="0"/>
            </a:rPr>
            <a:t>24%</a:t>
          </a:r>
          <a:endParaRPr lang="en-IN" sz="1600">
            <a:effectLst/>
            <a:latin typeface="Times New Roman" panose="02020603050405020304" pitchFamily="18" charset="0"/>
            <a:cs typeface="Times New Roman" panose="02020603050405020304" pitchFamily="18" charset="0"/>
          </a:endParaRPr>
        </a:p>
        <a:p>
          <a:pPr algn="l"/>
          <a:r>
            <a:rPr lang="en-IN" sz="1600" b="1" i="0">
              <a:solidFill>
                <a:schemeClr val="dk1"/>
              </a:solidFill>
              <a:effectLst/>
              <a:latin typeface="Times New Roman" panose="02020603050405020304" pitchFamily="18" charset="0"/>
              <a:ea typeface="+mn-ea"/>
              <a:cs typeface="Times New Roman" panose="02020603050405020304" pitchFamily="18" charset="0"/>
            </a:rPr>
            <a:t>Recovery</a:t>
          </a:r>
          <a:r>
            <a:rPr lang="en-IN" sz="1600" b="1" i="0" baseline="0">
              <a:solidFill>
                <a:schemeClr val="dk1"/>
              </a:solidFill>
              <a:effectLst/>
              <a:latin typeface="Times New Roman" panose="02020603050405020304" pitchFamily="18" charset="0"/>
              <a:ea typeface="+mn-ea"/>
              <a:cs typeface="Times New Roman" panose="02020603050405020304" pitchFamily="18" charset="0"/>
            </a:rPr>
            <a:t> Date</a:t>
          </a:r>
          <a:endParaRPr lang="en-IN" sz="1600">
            <a:effectLst/>
            <a:latin typeface="Times New Roman" panose="02020603050405020304" pitchFamily="18" charset="0"/>
            <a:cs typeface="Times New Roman" panose="02020603050405020304" pitchFamily="18" charset="0"/>
          </a:endParaRPr>
        </a:p>
      </xdr:txBody>
    </xdr:sp>
    <xdr:clientData/>
  </xdr:twoCellAnchor>
  <xdr:twoCellAnchor>
    <xdr:from>
      <xdr:col>24</xdr:col>
      <xdr:colOff>581645</xdr:colOff>
      <xdr:row>17</xdr:row>
      <xdr:rowOff>121740</xdr:rowOff>
    </xdr:from>
    <xdr:to>
      <xdr:col>28</xdr:col>
      <xdr:colOff>311112</xdr:colOff>
      <xdr:row>21</xdr:row>
      <xdr:rowOff>54106</xdr:rowOff>
    </xdr:to>
    <xdr:graphicFrame macro="">
      <xdr:nvGraphicFramePr>
        <xdr:cNvPr id="26" name="Chart 25">
          <a:extLst>
            <a:ext uri="{FF2B5EF4-FFF2-40B4-BE49-F238E27FC236}">
              <a16:creationId xmlns:a16="http://schemas.microsoft.com/office/drawing/2014/main" id="{1295BCE9-FD7C-44CE-8844-267C27BDE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583297</xdr:colOff>
      <xdr:row>14</xdr:row>
      <xdr:rowOff>154403</xdr:rowOff>
    </xdr:from>
    <xdr:to>
      <xdr:col>15</xdr:col>
      <xdr:colOff>514672</xdr:colOff>
      <xdr:row>19</xdr:row>
      <xdr:rowOff>9881</xdr:rowOff>
    </xdr:to>
    <xdr:pic>
      <xdr:nvPicPr>
        <xdr:cNvPr id="2" name="Picture 1" descr="Best Customsie Hospital Performance Dashbaoard">
          <a:extLst>
            <a:ext uri="{FF2B5EF4-FFF2-40B4-BE49-F238E27FC236}">
              <a16:creationId xmlns:a16="http://schemas.microsoft.com/office/drawing/2014/main" id="{E4EAA1C7-DBFF-B4D7-8B22-3A1D1F80C1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12175" y="2796383"/>
          <a:ext cx="1166587" cy="786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11879</xdr:colOff>
      <xdr:row>5</xdr:row>
      <xdr:rowOff>63011</xdr:rowOff>
    </xdr:from>
    <xdr:to>
      <xdr:col>11</xdr:col>
      <xdr:colOff>414494</xdr:colOff>
      <xdr:row>13</xdr:row>
      <xdr:rowOff>17156</xdr:rowOff>
    </xdr:to>
    <xdr:pic>
      <xdr:nvPicPr>
        <xdr:cNvPr id="3" name="Picture 2">
          <a:extLst>
            <a:ext uri="{FF2B5EF4-FFF2-40B4-BE49-F238E27FC236}">
              <a16:creationId xmlns:a16="http://schemas.microsoft.com/office/drawing/2014/main" id="{6515B6E2-EFB8-0FDC-49DC-C69FDA4767F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20109" y="1005043"/>
          <a:ext cx="2864462" cy="1461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284060</xdr:colOff>
      <xdr:row>4</xdr:row>
      <xdr:rowOff>67637</xdr:rowOff>
    </xdr:from>
    <xdr:to>
      <xdr:col>6</xdr:col>
      <xdr:colOff>189373</xdr:colOff>
      <xdr:row>13</xdr:row>
      <xdr:rowOff>81160</xdr:rowOff>
    </xdr:to>
    <xdr:pic>
      <xdr:nvPicPr>
        <xdr:cNvPr id="4" name="Picture 3" descr="Hospital - Free medical icons">
          <a:extLst>
            <a:ext uri="{FF2B5EF4-FFF2-40B4-BE49-F238E27FC236}">
              <a16:creationId xmlns:a16="http://schemas.microsoft.com/office/drawing/2014/main" id="{570F2D0B-C33B-B314-443E-A0EE31F7728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0735" y="825127"/>
          <a:ext cx="1771988" cy="1717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325324</xdr:colOff>
      <xdr:row>17</xdr:row>
      <xdr:rowOff>97566</xdr:rowOff>
    </xdr:from>
    <xdr:to>
      <xdr:col>24</xdr:col>
      <xdr:colOff>54791</xdr:colOff>
      <xdr:row>21</xdr:row>
      <xdr:rowOff>29932</xdr:rowOff>
    </xdr:to>
    <xdr:graphicFrame macro="">
      <xdr:nvGraphicFramePr>
        <xdr:cNvPr id="5" name="Chart 4">
          <a:extLst>
            <a:ext uri="{FF2B5EF4-FFF2-40B4-BE49-F238E27FC236}">
              <a16:creationId xmlns:a16="http://schemas.microsoft.com/office/drawing/2014/main" id="{CB51F47B-F039-40F2-8CAD-C88A24C83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66344</xdr:colOff>
      <xdr:row>17</xdr:row>
      <xdr:rowOff>151800</xdr:rowOff>
    </xdr:from>
    <xdr:to>
      <xdr:col>19</xdr:col>
      <xdr:colOff>418036</xdr:colOff>
      <xdr:row>21</xdr:row>
      <xdr:rowOff>84166</xdr:rowOff>
    </xdr:to>
    <xdr:graphicFrame macro="">
      <xdr:nvGraphicFramePr>
        <xdr:cNvPr id="6" name="Chart 5">
          <a:extLst>
            <a:ext uri="{FF2B5EF4-FFF2-40B4-BE49-F238E27FC236}">
              <a16:creationId xmlns:a16="http://schemas.microsoft.com/office/drawing/2014/main" id="{B8AD3A78-A0B2-4E49-BCFA-631E60D68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161219</xdr:colOff>
      <xdr:row>17</xdr:row>
      <xdr:rowOff>124747</xdr:rowOff>
    </xdr:from>
    <xdr:to>
      <xdr:col>10</xdr:col>
      <xdr:colOff>512911</xdr:colOff>
      <xdr:row>21</xdr:row>
      <xdr:rowOff>57113</xdr:rowOff>
    </xdr:to>
    <xdr:graphicFrame macro="">
      <xdr:nvGraphicFramePr>
        <xdr:cNvPr id="7" name="Chart 6">
          <a:extLst>
            <a:ext uri="{FF2B5EF4-FFF2-40B4-BE49-F238E27FC236}">
              <a16:creationId xmlns:a16="http://schemas.microsoft.com/office/drawing/2014/main" id="{1A55F9E6-ACF0-416D-A695-8602CD357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389265</xdr:colOff>
      <xdr:row>17</xdr:row>
      <xdr:rowOff>151798</xdr:rowOff>
    </xdr:from>
    <xdr:to>
      <xdr:col>15</xdr:col>
      <xdr:colOff>118732</xdr:colOff>
      <xdr:row>21</xdr:row>
      <xdr:rowOff>84164</xdr:rowOff>
    </xdr:to>
    <xdr:graphicFrame macro="">
      <xdr:nvGraphicFramePr>
        <xdr:cNvPr id="8" name="Chart 7">
          <a:extLst>
            <a:ext uri="{FF2B5EF4-FFF2-40B4-BE49-F238E27FC236}">
              <a16:creationId xmlns:a16="http://schemas.microsoft.com/office/drawing/2014/main" id="{D5F538DC-B069-472C-A46A-CB729B699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27</xdr:col>
      <xdr:colOff>446051</xdr:colOff>
      <xdr:row>15</xdr:row>
      <xdr:rowOff>120092</xdr:rowOff>
    </xdr:from>
    <xdr:to>
      <xdr:col>28</xdr:col>
      <xdr:colOff>223026</xdr:colOff>
      <xdr:row>17</xdr:row>
      <xdr:rowOff>150329</xdr:rowOff>
    </xdr:to>
    <xdr:pic>
      <xdr:nvPicPr>
        <xdr:cNvPr id="22" name="Picture 21" descr="Reduce cost - Free business and finance icons">
          <a:extLst>
            <a:ext uri="{FF2B5EF4-FFF2-40B4-BE49-F238E27FC236}">
              <a16:creationId xmlns:a16="http://schemas.microsoft.com/office/drawing/2014/main" id="{8B848D87-55C0-F7BA-6F07-7F49017F74BD}"/>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7121412" y="2950787"/>
          <a:ext cx="394582" cy="4076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102932</xdr:colOff>
      <xdr:row>15</xdr:row>
      <xdr:rowOff>51466</xdr:rowOff>
    </xdr:from>
    <xdr:to>
      <xdr:col>10</xdr:col>
      <xdr:colOff>497514</xdr:colOff>
      <xdr:row>17</xdr:row>
      <xdr:rowOff>81703</xdr:rowOff>
    </xdr:to>
    <xdr:pic>
      <xdr:nvPicPr>
        <xdr:cNvPr id="23" name="Picture 22" descr="Reduce cost - Free business and finance icons">
          <a:extLst>
            <a:ext uri="{FF2B5EF4-FFF2-40B4-BE49-F238E27FC236}">
              <a16:creationId xmlns:a16="http://schemas.microsoft.com/office/drawing/2014/main" id="{0846DBEA-4C40-4B04-B809-4A098EC1D1E4}"/>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278993" y="2882161"/>
          <a:ext cx="394582" cy="4076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286601</xdr:colOff>
      <xdr:row>15</xdr:row>
      <xdr:rowOff>68623</xdr:rowOff>
    </xdr:from>
    <xdr:to>
      <xdr:col>19</xdr:col>
      <xdr:colOff>531827</xdr:colOff>
      <xdr:row>16</xdr:row>
      <xdr:rowOff>133266</xdr:rowOff>
    </xdr:to>
    <xdr:pic>
      <xdr:nvPicPr>
        <xdr:cNvPr id="25" name="Picture 24" descr="Reduce cost - Free business and finance icons">
          <a:extLst>
            <a:ext uri="{FF2B5EF4-FFF2-40B4-BE49-F238E27FC236}">
              <a16:creationId xmlns:a16="http://schemas.microsoft.com/office/drawing/2014/main" id="{7EADC665-84F0-4E6C-9BE0-75DC14040F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021116" y="2899318"/>
          <a:ext cx="245226" cy="25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522613</xdr:colOff>
      <xdr:row>15</xdr:row>
      <xdr:rowOff>35540</xdr:rowOff>
    </xdr:from>
    <xdr:to>
      <xdr:col>24</xdr:col>
      <xdr:colOff>171557</xdr:colOff>
      <xdr:row>16</xdr:row>
      <xdr:rowOff>122213</xdr:rowOff>
    </xdr:to>
    <xdr:pic>
      <xdr:nvPicPr>
        <xdr:cNvPr id="27" name="Picture 26" descr="Reduce cost - Free business and finance icons">
          <a:extLst>
            <a:ext uri="{FF2B5EF4-FFF2-40B4-BE49-F238E27FC236}">
              <a16:creationId xmlns:a16="http://schemas.microsoft.com/office/drawing/2014/main" id="{212A159B-48B4-4671-AD3A-DFBC295BF7B1}"/>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4727552" y="2866235"/>
          <a:ext cx="266549" cy="275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527538</xdr:colOff>
      <xdr:row>21</xdr:row>
      <xdr:rowOff>85780</xdr:rowOff>
    </xdr:from>
    <xdr:to>
      <xdr:col>12</xdr:col>
      <xdr:colOff>301450</xdr:colOff>
      <xdr:row>35</xdr:row>
      <xdr:rowOff>125604</xdr:rowOff>
    </xdr:to>
    <xdr:sp macro="" textlink="">
      <xdr:nvSpPr>
        <xdr:cNvPr id="28" name="Rectangle: Rounded Corners 27">
          <a:extLst>
            <a:ext uri="{FF2B5EF4-FFF2-40B4-BE49-F238E27FC236}">
              <a16:creationId xmlns:a16="http://schemas.microsoft.com/office/drawing/2014/main" id="{402D6350-91AA-451C-B7A0-91307DFC219A}"/>
            </a:ext>
          </a:extLst>
        </xdr:cNvPr>
        <xdr:cNvSpPr/>
      </xdr:nvSpPr>
      <xdr:spPr>
        <a:xfrm>
          <a:off x="4220308" y="4042319"/>
          <a:ext cx="3466681" cy="267751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88932</xdr:colOff>
      <xdr:row>21</xdr:row>
      <xdr:rowOff>85780</xdr:rowOff>
    </xdr:from>
    <xdr:to>
      <xdr:col>12</xdr:col>
      <xdr:colOff>314010</xdr:colOff>
      <xdr:row>35</xdr:row>
      <xdr:rowOff>113045</xdr:rowOff>
    </xdr:to>
    <xdr:graphicFrame macro="">
      <xdr:nvGraphicFramePr>
        <xdr:cNvPr id="29" name="Chart 28">
          <a:extLst>
            <a:ext uri="{FF2B5EF4-FFF2-40B4-BE49-F238E27FC236}">
              <a16:creationId xmlns:a16="http://schemas.microsoft.com/office/drawing/2014/main" id="{F81DE73D-29F6-43DD-A159-0E11096AC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263770</xdr:colOff>
      <xdr:row>15</xdr:row>
      <xdr:rowOff>163286</xdr:rowOff>
    </xdr:from>
    <xdr:to>
      <xdr:col>6</xdr:col>
      <xdr:colOff>288890</xdr:colOff>
      <xdr:row>26</xdr:row>
      <xdr:rowOff>106567</xdr:rowOff>
    </xdr:to>
    <mc:AlternateContent xmlns:mc="http://schemas.openxmlformats.org/markup-compatibility/2006" xmlns:a14="http://schemas.microsoft.com/office/drawing/2010/main">
      <mc:Choice Requires="a14">
        <xdr:graphicFrame macro="">
          <xdr:nvGraphicFramePr>
            <xdr:cNvPr id="30" name="Department 2">
              <a:extLst>
                <a:ext uri="{FF2B5EF4-FFF2-40B4-BE49-F238E27FC236}">
                  <a16:creationId xmlns:a16="http://schemas.microsoft.com/office/drawing/2014/main" id="{CE869CF4-471C-4C46-9729-37F446929416}"/>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2110155" y="2800978"/>
              <a:ext cx="1871504" cy="1877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263771</xdr:colOff>
      <xdr:row>26</xdr:row>
      <xdr:rowOff>163287</xdr:rowOff>
    </xdr:from>
    <xdr:to>
      <xdr:col>6</xdr:col>
      <xdr:colOff>251209</xdr:colOff>
      <xdr:row>31</xdr:row>
      <xdr:rowOff>125604</xdr:rowOff>
    </xdr:to>
    <mc:AlternateContent xmlns:mc="http://schemas.openxmlformats.org/markup-compatibility/2006" xmlns:a14="http://schemas.microsoft.com/office/drawing/2010/main">
      <mc:Choice Requires="a14">
        <xdr:graphicFrame macro="">
          <xdr:nvGraphicFramePr>
            <xdr:cNvPr id="31" name="Gender 2">
              <a:extLst>
                <a:ext uri="{FF2B5EF4-FFF2-40B4-BE49-F238E27FC236}">
                  <a16:creationId xmlns:a16="http://schemas.microsoft.com/office/drawing/2014/main" id="{A13414B8-9850-49DB-B104-55B9E39CB94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110156" y="4735287"/>
              <a:ext cx="1833822" cy="841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439613</xdr:colOff>
      <xdr:row>21</xdr:row>
      <xdr:rowOff>87923</xdr:rowOff>
    </xdr:from>
    <xdr:to>
      <xdr:col>18</xdr:col>
      <xdr:colOff>75362</xdr:colOff>
      <xdr:row>35</xdr:row>
      <xdr:rowOff>100483</xdr:rowOff>
    </xdr:to>
    <xdr:sp macro="" textlink="">
      <xdr:nvSpPr>
        <xdr:cNvPr id="33" name="Rectangle: Rounded Corners 32">
          <a:extLst>
            <a:ext uri="{FF2B5EF4-FFF2-40B4-BE49-F238E27FC236}">
              <a16:creationId xmlns:a16="http://schemas.microsoft.com/office/drawing/2014/main" id="{876DB924-FF01-423F-AB22-458341AAFA47}"/>
            </a:ext>
          </a:extLst>
        </xdr:cNvPr>
        <xdr:cNvSpPr/>
      </xdr:nvSpPr>
      <xdr:spPr>
        <a:xfrm>
          <a:off x="7825152" y="4044462"/>
          <a:ext cx="3328517" cy="2650251"/>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527538</xdr:colOff>
      <xdr:row>21</xdr:row>
      <xdr:rowOff>75362</xdr:rowOff>
    </xdr:from>
    <xdr:to>
      <xdr:col>18</xdr:col>
      <xdr:colOff>87924</xdr:colOff>
      <xdr:row>34</xdr:row>
      <xdr:rowOff>125604</xdr:rowOff>
    </xdr:to>
    <xdr:graphicFrame macro="">
      <xdr:nvGraphicFramePr>
        <xdr:cNvPr id="36" name="Chart 35">
          <a:extLst>
            <a:ext uri="{FF2B5EF4-FFF2-40B4-BE49-F238E27FC236}">
              <a16:creationId xmlns:a16="http://schemas.microsoft.com/office/drawing/2014/main" id="{2C9F05F8-D4CC-4A2F-A63A-43E233088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226087</xdr:colOff>
      <xdr:row>21</xdr:row>
      <xdr:rowOff>62803</xdr:rowOff>
    </xdr:from>
    <xdr:to>
      <xdr:col>23</xdr:col>
      <xdr:colOff>326571</xdr:colOff>
      <xdr:row>35</xdr:row>
      <xdr:rowOff>125605</xdr:rowOff>
    </xdr:to>
    <xdr:sp macro="" textlink="">
      <xdr:nvSpPr>
        <xdr:cNvPr id="37" name="Rectangle: Rounded Corners 36">
          <a:extLst>
            <a:ext uri="{FF2B5EF4-FFF2-40B4-BE49-F238E27FC236}">
              <a16:creationId xmlns:a16="http://schemas.microsoft.com/office/drawing/2014/main" id="{4EAE8FC7-A6B4-46C4-8652-ABEA04CD0369}"/>
            </a:ext>
          </a:extLst>
        </xdr:cNvPr>
        <xdr:cNvSpPr/>
      </xdr:nvSpPr>
      <xdr:spPr>
        <a:xfrm>
          <a:off x="11304394" y="4019342"/>
          <a:ext cx="3177793" cy="270049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kern="1200"/>
        </a:p>
      </xdr:txBody>
    </xdr:sp>
    <xdr:clientData/>
  </xdr:twoCellAnchor>
  <xdr:twoCellAnchor>
    <xdr:from>
      <xdr:col>23</xdr:col>
      <xdr:colOff>439615</xdr:colOff>
      <xdr:row>21</xdr:row>
      <xdr:rowOff>75361</xdr:rowOff>
    </xdr:from>
    <xdr:to>
      <xdr:col>28</xdr:col>
      <xdr:colOff>477298</xdr:colOff>
      <xdr:row>35</xdr:row>
      <xdr:rowOff>138165</xdr:rowOff>
    </xdr:to>
    <xdr:sp macro="" textlink="">
      <xdr:nvSpPr>
        <xdr:cNvPr id="38" name="Rectangle: Rounded Corners 37">
          <a:extLst>
            <a:ext uri="{FF2B5EF4-FFF2-40B4-BE49-F238E27FC236}">
              <a16:creationId xmlns:a16="http://schemas.microsoft.com/office/drawing/2014/main" id="{1D90A721-428A-40B2-828E-39232E7AA587}"/>
            </a:ext>
          </a:extLst>
        </xdr:cNvPr>
        <xdr:cNvSpPr/>
      </xdr:nvSpPr>
      <xdr:spPr>
        <a:xfrm>
          <a:off x="14595231" y="4031900"/>
          <a:ext cx="3114990" cy="270049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376814</xdr:colOff>
      <xdr:row>21</xdr:row>
      <xdr:rowOff>75362</xdr:rowOff>
    </xdr:from>
    <xdr:to>
      <xdr:col>23</xdr:col>
      <xdr:colOff>339131</xdr:colOff>
      <xdr:row>35</xdr:row>
      <xdr:rowOff>75362</xdr:rowOff>
    </xdr:to>
    <xdr:graphicFrame macro="">
      <xdr:nvGraphicFramePr>
        <xdr:cNvPr id="39" name="Chart 38">
          <a:extLst>
            <a:ext uri="{FF2B5EF4-FFF2-40B4-BE49-F238E27FC236}">
              <a16:creationId xmlns:a16="http://schemas.microsoft.com/office/drawing/2014/main" id="{02543376-D72B-4D48-AF44-82CF8722F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527538</xdr:colOff>
      <xdr:row>36</xdr:row>
      <xdr:rowOff>75362</xdr:rowOff>
    </xdr:from>
    <xdr:to>
      <xdr:col>12</xdr:col>
      <xdr:colOff>301450</xdr:colOff>
      <xdr:row>51</xdr:row>
      <xdr:rowOff>50241</xdr:rowOff>
    </xdr:to>
    <xdr:sp macro="" textlink="">
      <xdr:nvSpPr>
        <xdr:cNvPr id="41" name="Rectangle: Rounded Corners 40">
          <a:extLst>
            <a:ext uri="{FF2B5EF4-FFF2-40B4-BE49-F238E27FC236}">
              <a16:creationId xmlns:a16="http://schemas.microsoft.com/office/drawing/2014/main" id="{F40FB78B-B610-4C7A-A7F0-03D107FC1EE5}"/>
            </a:ext>
          </a:extLst>
        </xdr:cNvPr>
        <xdr:cNvSpPr/>
      </xdr:nvSpPr>
      <xdr:spPr>
        <a:xfrm>
          <a:off x="4220308" y="6858000"/>
          <a:ext cx="3466681" cy="2800977"/>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427054</xdr:colOff>
      <xdr:row>36</xdr:row>
      <xdr:rowOff>62802</xdr:rowOff>
    </xdr:from>
    <xdr:to>
      <xdr:col>18</xdr:col>
      <xdr:colOff>150726</xdr:colOff>
      <xdr:row>51</xdr:row>
      <xdr:rowOff>50242</xdr:rowOff>
    </xdr:to>
    <xdr:sp macro="" textlink="">
      <xdr:nvSpPr>
        <xdr:cNvPr id="42" name="Rectangle: Rounded Corners 41">
          <a:extLst>
            <a:ext uri="{FF2B5EF4-FFF2-40B4-BE49-F238E27FC236}">
              <a16:creationId xmlns:a16="http://schemas.microsoft.com/office/drawing/2014/main" id="{291F1934-30E4-4005-800A-2CFEE9A7022A}"/>
            </a:ext>
          </a:extLst>
        </xdr:cNvPr>
        <xdr:cNvSpPr/>
      </xdr:nvSpPr>
      <xdr:spPr>
        <a:xfrm>
          <a:off x="7812593" y="6845440"/>
          <a:ext cx="3416440" cy="2813538"/>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263770</xdr:colOff>
      <xdr:row>36</xdr:row>
      <xdr:rowOff>75362</xdr:rowOff>
    </xdr:from>
    <xdr:to>
      <xdr:col>23</xdr:col>
      <xdr:colOff>427055</xdr:colOff>
      <xdr:row>51</xdr:row>
      <xdr:rowOff>25121</xdr:rowOff>
    </xdr:to>
    <xdr:sp macro="" textlink="">
      <xdr:nvSpPr>
        <xdr:cNvPr id="43" name="Rectangle: Rounded Corners 42">
          <a:extLst>
            <a:ext uri="{FF2B5EF4-FFF2-40B4-BE49-F238E27FC236}">
              <a16:creationId xmlns:a16="http://schemas.microsoft.com/office/drawing/2014/main" id="{463D8F32-7708-4781-8CF7-91540226CD78}"/>
            </a:ext>
          </a:extLst>
        </xdr:cNvPr>
        <xdr:cNvSpPr/>
      </xdr:nvSpPr>
      <xdr:spPr>
        <a:xfrm>
          <a:off x="11342077" y="6858000"/>
          <a:ext cx="3240594" cy="2775857"/>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kern="1200"/>
        </a:p>
      </xdr:txBody>
    </xdr:sp>
    <xdr:clientData/>
  </xdr:twoCellAnchor>
  <xdr:twoCellAnchor>
    <xdr:from>
      <xdr:col>23</xdr:col>
      <xdr:colOff>514977</xdr:colOff>
      <xdr:row>36</xdr:row>
      <xdr:rowOff>37680</xdr:rowOff>
    </xdr:from>
    <xdr:to>
      <xdr:col>28</xdr:col>
      <xdr:colOff>477297</xdr:colOff>
      <xdr:row>51</xdr:row>
      <xdr:rowOff>15985</xdr:rowOff>
    </xdr:to>
    <xdr:sp macro="" textlink="">
      <xdr:nvSpPr>
        <xdr:cNvPr id="44" name="Rectangle: Rounded Corners 43">
          <a:extLst>
            <a:ext uri="{FF2B5EF4-FFF2-40B4-BE49-F238E27FC236}">
              <a16:creationId xmlns:a16="http://schemas.microsoft.com/office/drawing/2014/main" id="{262E9DCA-FE6A-458F-B929-88612FAB7D72}"/>
            </a:ext>
          </a:extLst>
        </xdr:cNvPr>
        <xdr:cNvSpPr/>
      </xdr:nvSpPr>
      <xdr:spPr>
        <a:xfrm>
          <a:off x="14854432" y="6368141"/>
          <a:ext cx="3079592" cy="2615999"/>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12562</xdr:colOff>
      <xdr:row>36</xdr:row>
      <xdr:rowOff>100484</xdr:rowOff>
    </xdr:from>
    <xdr:to>
      <xdr:col>12</xdr:col>
      <xdr:colOff>276329</xdr:colOff>
      <xdr:row>50</xdr:row>
      <xdr:rowOff>150725</xdr:rowOff>
    </xdr:to>
    <xdr:graphicFrame macro="">
      <xdr:nvGraphicFramePr>
        <xdr:cNvPr id="46" name="Chart 45">
          <a:extLst>
            <a:ext uri="{FF2B5EF4-FFF2-40B4-BE49-F238E27FC236}">
              <a16:creationId xmlns:a16="http://schemas.microsoft.com/office/drawing/2014/main" id="{2E5644C9-971B-4E8C-96E8-4050BD55F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590340</xdr:colOff>
      <xdr:row>36</xdr:row>
      <xdr:rowOff>87922</xdr:rowOff>
    </xdr:from>
    <xdr:to>
      <xdr:col>18</xdr:col>
      <xdr:colOff>326573</xdr:colOff>
      <xdr:row>51</xdr:row>
      <xdr:rowOff>50242</xdr:rowOff>
    </xdr:to>
    <xdr:graphicFrame macro="">
      <xdr:nvGraphicFramePr>
        <xdr:cNvPr id="47" name="Chart 46">
          <a:extLst>
            <a:ext uri="{FF2B5EF4-FFF2-40B4-BE49-F238E27FC236}">
              <a16:creationId xmlns:a16="http://schemas.microsoft.com/office/drawing/2014/main" id="{12851F66-25E3-461B-BF26-D9D9CF4E8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364253</xdr:colOff>
      <xdr:row>37</xdr:row>
      <xdr:rowOff>25120</xdr:rowOff>
    </xdr:from>
    <xdr:to>
      <xdr:col>23</xdr:col>
      <xdr:colOff>401933</xdr:colOff>
      <xdr:row>50</xdr:row>
      <xdr:rowOff>75362</xdr:rowOff>
    </xdr:to>
    <xdr:graphicFrame macro="">
      <xdr:nvGraphicFramePr>
        <xdr:cNvPr id="48" name="Chart 47">
          <a:extLst>
            <a:ext uri="{FF2B5EF4-FFF2-40B4-BE49-F238E27FC236}">
              <a16:creationId xmlns:a16="http://schemas.microsoft.com/office/drawing/2014/main" id="{5499E2B3-2B55-42A0-A845-B820DA0F4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577780</xdr:colOff>
      <xdr:row>37</xdr:row>
      <xdr:rowOff>25120</xdr:rowOff>
    </xdr:from>
    <xdr:to>
      <xdr:col>28</xdr:col>
      <xdr:colOff>452177</xdr:colOff>
      <xdr:row>51</xdr:row>
      <xdr:rowOff>75363</xdr:rowOff>
    </xdr:to>
    <xdr:graphicFrame macro="">
      <xdr:nvGraphicFramePr>
        <xdr:cNvPr id="49" name="Chart 48">
          <a:extLst>
            <a:ext uri="{FF2B5EF4-FFF2-40B4-BE49-F238E27FC236}">
              <a16:creationId xmlns:a16="http://schemas.microsoft.com/office/drawing/2014/main" id="{D51D19FA-B131-48D7-94B3-0CC9AB826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3</xdr:col>
      <xdr:colOff>283378</xdr:colOff>
      <xdr:row>32</xdr:row>
      <xdr:rowOff>-1</xdr:rowOff>
    </xdr:from>
    <xdr:to>
      <xdr:col>6</xdr:col>
      <xdr:colOff>276329</xdr:colOff>
      <xdr:row>38</xdr:row>
      <xdr:rowOff>102810</xdr:rowOff>
    </xdr:to>
    <mc:AlternateContent xmlns:mc="http://schemas.openxmlformats.org/markup-compatibility/2006" xmlns:a14="http://schemas.microsoft.com/office/drawing/2010/main">
      <mc:Choice Requires="a14">
        <xdr:graphicFrame macro="">
          <xdr:nvGraphicFramePr>
            <xdr:cNvPr id="52" name="Admission_Type 3">
              <a:extLst>
                <a:ext uri="{FF2B5EF4-FFF2-40B4-BE49-F238E27FC236}">
                  <a16:creationId xmlns:a16="http://schemas.microsoft.com/office/drawing/2014/main" id="{00E3C09A-F20D-4527-8CB0-C8DA955EC12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dmission_Type 3"/>
            </a:graphicData>
          </a:graphic>
        </xdr:graphicFrame>
      </mc:Choice>
      <mc:Fallback xmlns="">
        <xdr:sp macro="" textlink="">
          <xdr:nvSpPr>
            <xdr:cNvPr id="0" name=""/>
            <xdr:cNvSpPr>
              <a:spLocks noTextEdit="1"/>
            </xdr:cNvSpPr>
          </xdr:nvSpPr>
          <xdr:spPr>
            <a:xfrm>
              <a:off x="2129763" y="5627076"/>
              <a:ext cx="1839335" cy="1157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125605</xdr:colOff>
      <xdr:row>39</xdr:row>
      <xdr:rowOff>150727</xdr:rowOff>
    </xdr:from>
    <xdr:to>
      <xdr:col>6</xdr:col>
      <xdr:colOff>376812</xdr:colOff>
      <xdr:row>51</xdr:row>
      <xdr:rowOff>50242</xdr:rowOff>
    </xdr:to>
    <xdr:sp macro="" textlink="">
      <xdr:nvSpPr>
        <xdr:cNvPr id="54" name="Rectangle: Rounded Corners 53">
          <a:extLst>
            <a:ext uri="{FF2B5EF4-FFF2-40B4-BE49-F238E27FC236}">
              <a16:creationId xmlns:a16="http://schemas.microsoft.com/office/drawing/2014/main" id="{B7265114-EADC-44C2-9E03-41C6D4A3A907}"/>
            </a:ext>
          </a:extLst>
        </xdr:cNvPr>
        <xdr:cNvSpPr/>
      </xdr:nvSpPr>
      <xdr:spPr>
        <a:xfrm>
          <a:off x="1971989" y="7498584"/>
          <a:ext cx="2097593" cy="2160394"/>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163287</xdr:colOff>
      <xdr:row>40</xdr:row>
      <xdr:rowOff>75362</xdr:rowOff>
    </xdr:from>
    <xdr:to>
      <xdr:col>6</xdr:col>
      <xdr:colOff>376813</xdr:colOff>
      <xdr:row>51</xdr:row>
      <xdr:rowOff>37682</xdr:rowOff>
    </xdr:to>
    <xdr:graphicFrame macro="">
      <xdr:nvGraphicFramePr>
        <xdr:cNvPr id="55" name="Chart 54">
          <a:extLst>
            <a:ext uri="{FF2B5EF4-FFF2-40B4-BE49-F238E27FC236}">
              <a16:creationId xmlns:a16="http://schemas.microsoft.com/office/drawing/2014/main" id="{0267C6F3-A66B-4827-8E3B-19BEF88C7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xdr:col>
      <xdr:colOff>527538</xdr:colOff>
      <xdr:row>22</xdr:row>
      <xdr:rowOff>14655</xdr:rowOff>
    </xdr:from>
    <xdr:to>
      <xdr:col>28</xdr:col>
      <xdr:colOff>483577</xdr:colOff>
      <xdr:row>35</xdr:row>
      <xdr:rowOff>29309</xdr:rowOff>
    </xdr:to>
    <xdr:graphicFrame macro="">
      <xdr:nvGraphicFramePr>
        <xdr:cNvPr id="56" name="Chart 55">
          <a:extLst>
            <a:ext uri="{FF2B5EF4-FFF2-40B4-BE49-F238E27FC236}">
              <a16:creationId xmlns:a16="http://schemas.microsoft.com/office/drawing/2014/main" id="{8259E305-FA84-42F8-BDB9-5FBCB27D8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refreshedDate="46083.512442129628" createdVersion="8" refreshedVersion="8" minRefreshableVersion="3" recordCount="1000" xr:uid="{A9F5A152-8791-4341-8416-86F4490FD36B}">
  <cacheSource type="worksheet">
    <worksheetSource name="Table2"/>
  </cacheSource>
  <cacheFields count="13">
    <cacheField name="Patient_ID" numFmtId="0">
      <sharedItems containsSemiMixedTypes="0" containsString="0" containsNumber="1" containsInteger="1" minValue="100001" maxValue="101000" count="1000">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n v="100392"/>
        <n v="100393"/>
        <n v="100394"/>
        <n v="100395"/>
        <n v="100396"/>
        <n v="100397"/>
        <n v="100398"/>
        <n v="100399"/>
        <n v="100400"/>
        <n v="100401"/>
        <n v="100402"/>
        <n v="100403"/>
        <n v="100404"/>
        <n v="100405"/>
        <n v="100406"/>
        <n v="100407"/>
        <n v="100408"/>
        <n v="100409"/>
        <n v="100410"/>
        <n v="100411"/>
        <n v="100412"/>
        <n v="100413"/>
        <n v="100414"/>
        <n v="100415"/>
        <n v="100416"/>
        <n v="100417"/>
        <n v="100418"/>
        <n v="100419"/>
        <n v="100420"/>
        <n v="100421"/>
        <n v="100422"/>
        <n v="100423"/>
        <n v="100424"/>
        <n v="100425"/>
        <n v="100426"/>
        <n v="100427"/>
        <n v="100428"/>
        <n v="100429"/>
        <n v="100430"/>
        <n v="100431"/>
        <n v="100432"/>
        <n v="100433"/>
        <n v="100434"/>
        <n v="100435"/>
        <n v="100436"/>
        <n v="100437"/>
        <n v="100438"/>
        <n v="100439"/>
        <n v="100440"/>
        <n v="100441"/>
        <n v="100442"/>
        <n v="100443"/>
        <n v="100444"/>
        <n v="100445"/>
        <n v="100446"/>
        <n v="100447"/>
        <n v="100448"/>
        <n v="100449"/>
        <n v="100450"/>
        <n v="100451"/>
        <n v="100452"/>
        <n v="100453"/>
        <n v="100454"/>
        <n v="100455"/>
        <n v="100456"/>
        <n v="100457"/>
        <n v="100458"/>
        <n v="100459"/>
        <n v="100460"/>
        <n v="100461"/>
        <n v="100462"/>
        <n v="100463"/>
        <n v="100464"/>
        <n v="100465"/>
        <n v="100466"/>
        <n v="100467"/>
        <n v="100468"/>
        <n v="100469"/>
        <n v="100470"/>
        <n v="100471"/>
        <n v="100472"/>
        <n v="100473"/>
        <n v="100474"/>
        <n v="100475"/>
        <n v="100476"/>
        <n v="100477"/>
        <n v="100478"/>
        <n v="100479"/>
        <n v="100480"/>
        <n v="100481"/>
        <n v="100482"/>
        <n v="100483"/>
        <n v="100484"/>
        <n v="100485"/>
        <n v="100486"/>
        <n v="100487"/>
        <n v="100488"/>
        <n v="100489"/>
        <n v="100490"/>
        <n v="100491"/>
        <n v="100492"/>
        <n v="100493"/>
        <n v="100494"/>
        <n v="100495"/>
        <n v="100496"/>
        <n v="100497"/>
        <n v="100498"/>
        <n v="100499"/>
        <n v="100500"/>
        <n v="100501"/>
        <n v="100502"/>
        <n v="100503"/>
        <n v="100504"/>
        <n v="100505"/>
        <n v="100506"/>
        <n v="100507"/>
        <n v="100508"/>
        <n v="100509"/>
        <n v="100510"/>
        <n v="100511"/>
        <n v="100512"/>
        <n v="100513"/>
        <n v="100514"/>
        <n v="100515"/>
        <n v="100516"/>
        <n v="100517"/>
        <n v="100518"/>
        <n v="100519"/>
        <n v="100520"/>
        <n v="100521"/>
        <n v="100522"/>
        <n v="100523"/>
        <n v="100524"/>
        <n v="100525"/>
        <n v="100526"/>
        <n v="100527"/>
        <n v="100528"/>
        <n v="100529"/>
        <n v="100530"/>
        <n v="100531"/>
        <n v="100532"/>
        <n v="100533"/>
        <n v="100534"/>
        <n v="100535"/>
        <n v="100536"/>
        <n v="100537"/>
        <n v="100538"/>
        <n v="100539"/>
        <n v="100540"/>
        <n v="100541"/>
        <n v="100542"/>
        <n v="100543"/>
        <n v="100544"/>
        <n v="100545"/>
        <n v="100546"/>
        <n v="100547"/>
        <n v="100548"/>
        <n v="100549"/>
        <n v="100550"/>
        <n v="100551"/>
        <n v="100552"/>
        <n v="100553"/>
        <n v="100554"/>
        <n v="100555"/>
        <n v="100556"/>
        <n v="100557"/>
        <n v="100558"/>
        <n v="100559"/>
        <n v="100560"/>
        <n v="100561"/>
        <n v="100562"/>
        <n v="100563"/>
        <n v="100564"/>
        <n v="100565"/>
        <n v="100566"/>
        <n v="100567"/>
        <n v="100568"/>
        <n v="100569"/>
        <n v="100570"/>
        <n v="100571"/>
        <n v="100572"/>
        <n v="100573"/>
        <n v="100574"/>
        <n v="100575"/>
        <n v="100576"/>
        <n v="100577"/>
        <n v="100578"/>
        <n v="100579"/>
        <n v="100580"/>
        <n v="100581"/>
        <n v="100582"/>
        <n v="100583"/>
        <n v="100584"/>
        <n v="100585"/>
        <n v="100586"/>
        <n v="100587"/>
        <n v="100588"/>
        <n v="100589"/>
        <n v="100590"/>
        <n v="100591"/>
        <n v="100592"/>
        <n v="100593"/>
        <n v="100594"/>
        <n v="100595"/>
        <n v="100596"/>
        <n v="100597"/>
        <n v="100598"/>
        <n v="100599"/>
        <n v="100600"/>
        <n v="100601"/>
        <n v="100602"/>
        <n v="100603"/>
        <n v="100604"/>
        <n v="100605"/>
        <n v="100606"/>
        <n v="100607"/>
        <n v="100608"/>
        <n v="100609"/>
        <n v="100610"/>
        <n v="100611"/>
        <n v="100612"/>
        <n v="100613"/>
        <n v="100614"/>
        <n v="100615"/>
        <n v="100616"/>
        <n v="100617"/>
        <n v="100618"/>
        <n v="100619"/>
        <n v="100620"/>
        <n v="100621"/>
        <n v="100622"/>
        <n v="100623"/>
        <n v="100624"/>
        <n v="100625"/>
        <n v="100626"/>
        <n v="100627"/>
        <n v="100628"/>
        <n v="100629"/>
        <n v="100630"/>
        <n v="100631"/>
        <n v="100632"/>
        <n v="100633"/>
        <n v="100634"/>
        <n v="100635"/>
        <n v="100636"/>
        <n v="100637"/>
        <n v="100638"/>
        <n v="100639"/>
        <n v="100640"/>
        <n v="100641"/>
        <n v="100642"/>
        <n v="100643"/>
        <n v="100644"/>
        <n v="100645"/>
        <n v="100646"/>
        <n v="100647"/>
        <n v="100648"/>
        <n v="100649"/>
        <n v="100650"/>
        <n v="100651"/>
        <n v="100652"/>
        <n v="100653"/>
        <n v="100654"/>
        <n v="100655"/>
        <n v="100656"/>
        <n v="100657"/>
        <n v="100658"/>
        <n v="100659"/>
        <n v="100660"/>
        <n v="100661"/>
        <n v="100662"/>
        <n v="100663"/>
        <n v="100664"/>
        <n v="100665"/>
        <n v="100666"/>
        <n v="100667"/>
        <n v="100668"/>
        <n v="100669"/>
        <n v="100670"/>
        <n v="100671"/>
        <n v="100672"/>
        <n v="100673"/>
        <n v="100674"/>
        <n v="100675"/>
        <n v="100676"/>
        <n v="100677"/>
        <n v="100678"/>
        <n v="100679"/>
        <n v="100680"/>
        <n v="100681"/>
        <n v="100682"/>
        <n v="100683"/>
        <n v="100684"/>
        <n v="100685"/>
        <n v="100686"/>
        <n v="100687"/>
        <n v="100688"/>
        <n v="100689"/>
        <n v="100690"/>
        <n v="100691"/>
        <n v="100692"/>
        <n v="100693"/>
        <n v="100694"/>
        <n v="100695"/>
        <n v="100696"/>
        <n v="100697"/>
        <n v="100698"/>
        <n v="100699"/>
        <n v="100700"/>
        <n v="100701"/>
        <n v="100702"/>
        <n v="100703"/>
        <n v="100704"/>
        <n v="100705"/>
        <n v="100706"/>
        <n v="100707"/>
        <n v="100708"/>
        <n v="100709"/>
        <n v="100710"/>
        <n v="100711"/>
        <n v="100712"/>
        <n v="100713"/>
        <n v="100714"/>
        <n v="100715"/>
        <n v="100716"/>
        <n v="100717"/>
        <n v="100718"/>
        <n v="100719"/>
        <n v="100720"/>
        <n v="100721"/>
        <n v="100722"/>
        <n v="100723"/>
        <n v="100724"/>
        <n v="100725"/>
        <n v="100726"/>
        <n v="100727"/>
        <n v="100728"/>
        <n v="100729"/>
        <n v="100730"/>
        <n v="100731"/>
        <n v="100732"/>
        <n v="100733"/>
        <n v="100734"/>
        <n v="100735"/>
        <n v="100736"/>
        <n v="100737"/>
        <n v="100738"/>
        <n v="100739"/>
        <n v="100740"/>
        <n v="100741"/>
        <n v="100742"/>
        <n v="100743"/>
        <n v="100744"/>
        <n v="100745"/>
        <n v="100746"/>
        <n v="100747"/>
        <n v="100748"/>
        <n v="100749"/>
        <n v="100750"/>
        <n v="100751"/>
        <n v="100752"/>
        <n v="100753"/>
        <n v="100754"/>
        <n v="100755"/>
        <n v="100756"/>
        <n v="100757"/>
        <n v="100758"/>
        <n v="100759"/>
        <n v="100760"/>
        <n v="100761"/>
        <n v="100762"/>
        <n v="100763"/>
        <n v="100764"/>
        <n v="100765"/>
        <n v="100766"/>
        <n v="100767"/>
        <n v="100768"/>
        <n v="100769"/>
        <n v="100770"/>
        <n v="100771"/>
        <n v="100772"/>
        <n v="100773"/>
        <n v="100774"/>
        <n v="100775"/>
        <n v="100776"/>
        <n v="100777"/>
        <n v="100778"/>
        <n v="100779"/>
        <n v="100780"/>
        <n v="100781"/>
        <n v="100782"/>
        <n v="100783"/>
        <n v="100784"/>
        <n v="100785"/>
        <n v="100786"/>
        <n v="100787"/>
        <n v="100788"/>
        <n v="100789"/>
        <n v="100790"/>
        <n v="100791"/>
        <n v="100792"/>
        <n v="100793"/>
        <n v="100794"/>
        <n v="100795"/>
        <n v="100796"/>
        <n v="100797"/>
        <n v="100798"/>
        <n v="100799"/>
        <n v="100800"/>
        <n v="100801"/>
        <n v="100802"/>
        <n v="100803"/>
        <n v="100804"/>
        <n v="100805"/>
        <n v="100806"/>
        <n v="100807"/>
        <n v="100808"/>
        <n v="100809"/>
        <n v="100810"/>
        <n v="100811"/>
        <n v="100812"/>
        <n v="100813"/>
        <n v="100814"/>
        <n v="100815"/>
        <n v="100816"/>
        <n v="100817"/>
        <n v="100818"/>
        <n v="100819"/>
        <n v="100820"/>
        <n v="100821"/>
        <n v="100822"/>
        <n v="100823"/>
        <n v="100824"/>
        <n v="100825"/>
        <n v="100826"/>
        <n v="100827"/>
        <n v="100828"/>
        <n v="100829"/>
        <n v="100830"/>
        <n v="100831"/>
        <n v="100832"/>
        <n v="100833"/>
        <n v="100834"/>
        <n v="100835"/>
        <n v="100836"/>
        <n v="100837"/>
        <n v="100838"/>
        <n v="100839"/>
        <n v="100840"/>
        <n v="100841"/>
        <n v="100842"/>
        <n v="100843"/>
        <n v="100844"/>
        <n v="100845"/>
        <n v="100846"/>
        <n v="100847"/>
        <n v="100848"/>
        <n v="100849"/>
        <n v="100850"/>
        <n v="100851"/>
        <n v="100852"/>
        <n v="100853"/>
        <n v="100854"/>
        <n v="100855"/>
        <n v="100856"/>
        <n v="100857"/>
        <n v="100858"/>
        <n v="100859"/>
        <n v="100860"/>
        <n v="100861"/>
        <n v="100862"/>
        <n v="100863"/>
        <n v="100864"/>
        <n v="100865"/>
        <n v="100866"/>
        <n v="100867"/>
        <n v="100868"/>
        <n v="100869"/>
        <n v="100870"/>
        <n v="100871"/>
        <n v="100872"/>
        <n v="100873"/>
        <n v="100874"/>
        <n v="100875"/>
        <n v="100876"/>
        <n v="100877"/>
        <n v="100878"/>
        <n v="100879"/>
        <n v="100880"/>
        <n v="100881"/>
        <n v="100882"/>
        <n v="100883"/>
        <n v="100884"/>
        <n v="100885"/>
        <n v="100886"/>
        <n v="100887"/>
        <n v="100888"/>
        <n v="100889"/>
        <n v="100890"/>
        <n v="100891"/>
        <n v="100892"/>
        <n v="100893"/>
        <n v="100894"/>
        <n v="100895"/>
        <n v="100896"/>
        <n v="100897"/>
        <n v="100898"/>
        <n v="100899"/>
        <n v="100900"/>
        <n v="100901"/>
        <n v="100902"/>
        <n v="100903"/>
        <n v="100904"/>
        <n v="100905"/>
        <n v="100906"/>
        <n v="100907"/>
        <n v="100908"/>
        <n v="100909"/>
        <n v="100910"/>
        <n v="100911"/>
        <n v="100912"/>
        <n v="100913"/>
        <n v="100914"/>
        <n v="100915"/>
        <n v="100916"/>
        <n v="100917"/>
        <n v="100918"/>
        <n v="100919"/>
        <n v="100920"/>
        <n v="100921"/>
        <n v="100922"/>
        <n v="100923"/>
        <n v="100924"/>
        <n v="100925"/>
        <n v="100926"/>
        <n v="100927"/>
        <n v="100928"/>
        <n v="100929"/>
        <n v="100930"/>
        <n v="100931"/>
        <n v="100932"/>
        <n v="100933"/>
        <n v="100934"/>
        <n v="100935"/>
        <n v="100936"/>
        <n v="100937"/>
        <n v="100938"/>
        <n v="100939"/>
        <n v="100940"/>
        <n v="100941"/>
        <n v="100942"/>
        <n v="100943"/>
        <n v="100944"/>
        <n v="100945"/>
        <n v="100946"/>
        <n v="100947"/>
        <n v="100948"/>
        <n v="100949"/>
        <n v="100950"/>
        <n v="100951"/>
        <n v="100952"/>
        <n v="100953"/>
        <n v="100954"/>
        <n v="100955"/>
        <n v="100956"/>
        <n v="100957"/>
        <n v="100958"/>
        <n v="100959"/>
        <n v="100960"/>
        <n v="100961"/>
        <n v="100962"/>
        <n v="100963"/>
        <n v="100964"/>
        <n v="100965"/>
        <n v="100966"/>
        <n v="100967"/>
        <n v="100968"/>
        <n v="100969"/>
        <n v="100970"/>
        <n v="100971"/>
        <n v="100972"/>
        <n v="100973"/>
        <n v="100974"/>
        <n v="100975"/>
        <n v="100976"/>
        <n v="100977"/>
        <n v="100978"/>
        <n v="100979"/>
        <n v="100980"/>
        <n v="100981"/>
        <n v="100982"/>
        <n v="100983"/>
        <n v="100984"/>
        <n v="100985"/>
        <n v="100986"/>
        <n v="100987"/>
        <n v="100988"/>
        <n v="100989"/>
        <n v="100990"/>
        <n v="100991"/>
        <n v="100992"/>
        <n v="100993"/>
        <n v="100994"/>
        <n v="100995"/>
        <n v="100996"/>
        <n v="100997"/>
        <n v="100998"/>
        <n v="100999"/>
        <n v="101000"/>
      </sharedItems>
    </cacheField>
    <cacheField name="Age" numFmtId="0">
      <sharedItems containsSemiMixedTypes="0" containsString="0" containsNumber="1" containsInteger="1" minValue="1" maxValue="89"/>
    </cacheField>
    <cacheField name="Age Group" numFmtId="0">
      <sharedItems count="4">
        <s v="41-60"/>
        <s v="0-18"/>
        <s v="60+"/>
        <s v="19-40"/>
      </sharedItems>
    </cacheField>
    <cacheField name="Gender" numFmtId="0">
      <sharedItems count="2">
        <s v="Female"/>
        <s v="Male"/>
      </sharedItems>
    </cacheField>
    <cacheField name="Department" numFmtId="0">
      <sharedItems count="6">
        <s v="Cardiology"/>
        <s v="Pediatrics"/>
        <s v="Orthopedics"/>
        <s v="Oncology"/>
        <s v="Neurology"/>
        <s v="General Medicine"/>
      </sharedItems>
    </cacheField>
    <cacheField name="Doctor" numFmtId="0">
      <sharedItems count="5">
        <s v="Dr. Patil"/>
        <s v="Dr. Singh"/>
        <s v="Dr. Sharma"/>
        <s v="Dr. Iyer"/>
        <s v="Dr. Mehta"/>
      </sharedItems>
    </cacheField>
    <cacheField name="Admission_Type" numFmtId="0">
      <sharedItems count="3">
        <s v="Emergency"/>
        <s v="Referral"/>
        <s v="OPD"/>
      </sharedItems>
    </cacheField>
    <cacheField name="Length_of_Stay_Days" numFmtId="0">
      <sharedItems containsSemiMixedTypes="0" containsString="0" containsNumber="1" containsInteger="1" minValue="1" maxValue="19"/>
    </cacheField>
    <cacheField name="Treatment_Cost" numFmtId="0">
      <sharedItems containsSemiMixedTypes="0" containsString="0" containsNumber="1" containsInteger="1" minValue="2066" maxValue="249980" count="1000">
        <n v="223097"/>
        <n v="216235"/>
        <n v="204304"/>
        <n v="182066"/>
        <n v="212151"/>
        <n v="145687"/>
        <n v="3466"/>
        <n v="32771"/>
        <n v="85886"/>
        <n v="67911"/>
        <n v="231638"/>
        <n v="153818"/>
        <n v="90422"/>
        <n v="242956"/>
        <n v="193811"/>
        <n v="241512"/>
        <n v="231259"/>
        <n v="75369"/>
        <n v="3893"/>
        <n v="32573"/>
        <n v="98907"/>
        <n v="173946"/>
        <n v="210434"/>
        <n v="101956"/>
        <n v="220532"/>
        <n v="120580"/>
        <n v="166439"/>
        <n v="154271"/>
        <n v="249672"/>
        <n v="93404"/>
        <n v="207400"/>
        <n v="59724"/>
        <n v="88133"/>
        <n v="169477"/>
        <n v="231304"/>
        <n v="241731"/>
        <n v="17989"/>
        <n v="30931"/>
        <n v="11290"/>
        <n v="171439"/>
        <n v="123136"/>
        <n v="81878"/>
        <n v="92477"/>
        <n v="212553"/>
        <n v="209370"/>
        <n v="128299"/>
        <n v="163205"/>
        <n v="245688"/>
        <n v="107686"/>
        <n v="160124"/>
        <n v="109286"/>
        <n v="218561"/>
        <n v="42475"/>
        <n v="84666"/>
        <n v="98622"/>
        <n v="190728"/>
        <n v="137705"/>
        <n v="150376"/>
        <n v="109573"/>
        <n v="230892"/>
        <n v="48546"/>
        <n v="9008"/>
        <n v="50291"/>
        <n v="160477"/>
        <n v="38386"/>
        <n v="92909"/>
        <n v="153899"/>
        <n v="35040"/>
        <n v="62354"/>
        <n v="80543"/>
        <n v="20157"/>
        <n v="230765"/>
        <n v="37315"/>
        <n v="37932"/>
        <n v="154236"/>
        <n v="147486"/>
        <n v="147399"/>
        <n v="115880"/>
        <n v="134018"/>
        <n v="16693"/>
        <n v="29241"/>
        <n v="117194"/>
        <n v="97790"/>
        <n v="148612"/>
        <n v="74255"/>
        <n v="197829"/>
        <n v="174275"/>
        <n v="158153"/>
        <n v="194933"/>
        <n v="13350"/>
        <n v="188584"/>
        <n v="58809"/>
        <n v="103894"/>
        <n v="99557"/>
        <n v="175904"/>
        <n v="161441"/>
        <n v="33728"/>
        <n v="19576"/>
        <n v="162073"/>
        <n v="85384"/>
        <n v="2390"/>
        <n v="220607"/>
        <n v="47436"/>
        <n v="13569"/>
        <n v="146101"/>
        <n v="24490"/>
        <n v="47875"/>
        <n v="233936"/>
        <n v="7867"/>
        <n v="82820"/>
        <n v="101515"/>
        <n v="11121"/>
        <n v="3539"/>
        <n v="224096"/>
        <n v="150099"/>
        <n v="129402"/>
        <n v="76229"/>
        <n v="141993"/>
        <n v="52435"/>
        <n v="143382"/>
        <n v="65965"/>
        <n v="113048"/>
        <n v="98444"/>
        <n v="71922"/>
        <n v="99799"/>
        <n v="95948"/>
        <n v="215911"/>
        <n v="145314"/>
        <n v="245633"/>
        <n v="10947"/>
        <n v="245322"/>
        <n v="204538"/>
        <n v="236778"/>
        <n v="194888"/>
        <n v="50785"/>
        <n v="121963"/>
        <n v="2507"/>
        <n v="200044"/>
        <n v="160223"/>
        <n v="13618"/>
        <n v="76286"/>
        <n v="18122"/>
        <n v="140426"/>
        <n v="111598"/>
        <n v="164051"/>
        <n v="88436"/>
        <n v="212448"/>
        <n v="185846"/>
        <n v="235775"/>
        <n v="138109"/>
        <n v="30633"/>
        <n v="26495"/>
        <n v="66550"/>
        <n v="214456"/>
        <n v="38483"/>
        <n v="115181"/>
        <n v="206445"/>
        <n v="36069"/>
        <n v="140442"/>
        <n v="121873"/>
        <n v="118843"/>
        <n v="73947"/>
        <n v="172205"/>
        <n v="229107"/>
        <n v="97761"/>
        <n v="115753"/>
        <n v="133764"/>
        <n v="30926"/>
        <n v="101782"/>
        <n v="106700"/>
        <n v="75984"/>
        <n v="176462"/>
        <n v="51593"/>
        <n v="77609"/>
        <n v="234022"/>
        <n v="7209"/>
        <n v="128700"/>
        <n v="139605"/>
        <n v="88597"/>
        <n v="9211"/>
        <n v="11927"/>
        <n v="210535"/>
        <n v="119333"/>
        <n v="157666"/>
        <n v="207924"/>
        <n v="210785"/>
        <n v="78382"/>
        <n v="141005"/>
        <n v="105780"/>
        <n v="245229"/>
        <n v="42696"/>
        <n v="198521"/>
        <n v="69616"/>
        <n v="139161"/>
        <n v="189620"/>
        <n v="159195"/>
        <n v="140869"/>
        <n v="52013"/>
        <n v="141418"/>
        <n v="218486"/>
        <n v="166744"/>
        <n v="150725"/>
        <n v="51556"/>
        <n v="125723"/>
        <n v="241350"/>
        <n v="28140"/>
        <n v="3184"/>
        <n v="167565"/>
        <n v="177220"/>
        <n v="157918"/>
        <n v="113361"/>
        <n v="155267"/>
        <n v="7606"/>
        <n v="137028"/>
        <n v="18555"/>
        <n v="92385"/>
        <n v="151762"/>
        <n v="60502"/>
        <n v="181921"/>
        <n v="159419"/>
        <n v="231797"/>
        <n v="105844"/>
        <n v="93321"/>
        <n v="51056"/>
        <n v="196923"/>
        <n v="100234"/>
        <n v="214574"/>
        <n v="229705"/>
        <n v="214490"/>
        <n v="203283"/>
        <n v="43850"/>
        <n v="211617"/>
        <n v="29843"/>
        <n v="64320"/>
        <n v="31793"/>
        <n v="172588"/>
        <n v="237479"/>
        <n v="150929"/>
        <n v="21627"/>
        <n v="63822"/>
        <n v="217173"/>
        <n v="224633"/>
        <n v="185320"/>
        <n v="57798"/>
        <n v="226440"/>
        <n v="177188"/>
        <n v="77318"/>
        <n v="106186"/>
        <n v="89902"/>
        <n v="161629"/>
        <n v="73334"/>
        <n v="208235"/>
        <n v="108719"/>
        <n v="125099"/>
        <n v="211074"/>
        <n v="175686"/>
        <n v="14720"/>
        <n v="59608"/>
        <n v="109449"/>
        <n v="104828"/>
        <n v="128613"/>
        <n v="74095"/>
        <n v="107924"/>
        <n v="217766"/>
        <n v="98452"/>
        <n v="89593"/>
        <n v="168964"/>
        <n v="108975"/>
        <n v="79242"/>
        <n v="118041"/>
        <n v="128202"/>
        <n v="79606"/>
        <n v="125769"/>
        <n v="120542"/>
        <n v="108438"/>
        <n v="2924"/>
        <n v="53322"/>
        <n v="159550"/>
        <n v="73042"/>
        <n v="48418"/>
        <n v="195289"/>
        <n v="102699"/>
        <n v="92140"/>
        <n v="213918"/>
        <n v="206834"/>
        <n v="13781"/>
        <n v="138587"/>
        <n v="119358"/>
        <n v="38133"/>
        <n v="215580"/>
        <n v="99628"/>
        <n v="78946"/>
        <n v="87058"/>
        <n v="142167"/>
        <n v="221655"/>
        <n v="153542"/>
        <n v="45129"/>
        <n v="10531"/>
        <n v="39038"/>
        <n v="89939"/>
        <n v="44674"/>
        <n v="129572"/>
        <n v="227730"/>
        <n v="215548"/>
        <n v="31831"/>
        <n v="59174"/>
        <n v="13279"/>
        <n v="171292"/>
        <n v="62610"/>
        <n v="185791"/>
        <n v="55051"/>
        <n v="205085"/>
        <n v="58652"/>
        <n v="67524"/>
        <n v="216008"/>
        <n v="8470"/>
        <n v="200670"/>
        <n v="174870"/>
        <n v="55473"/>
        <n v="152952"/>
        <n v="233189"/>
        <n v="46439"/>
        <n v="16308"/>
        <n v="93563"/>
        <n v="229328"/>
        <n v="37081"/>
        <n v="208314"/>
        <n v="183455"/>
        <n v="11837"/>
        <n v="237207"/>
        <n v="185223"/>
        <n v="120128"/>
        <n v="169896"/>
        <n v="166145"/>
        <n v="114651"/>
        <n v="99624"/>
        <n v="226720"/>
        <n v="159371"/>
        <n v="233065"/>
        <n v="191933"/>
        <n v="32063"/>
        <n v="71453"/>
        <n v="201544"/>
        <n v="104166"/>
        <n v="16506"/>
        <n v="227413"/>
        <n v="212926"/>
        <n v="115604"/>
        <n v="28026"/>
        <n v="160744"/>
        <n v="171489"/>
        <n v="54413"/>
        <n v="67066"/>
        <n v="192285"/>
        <n v="52971"/>
        <n v="160353"/>
        <n v="115978"/>
        <n v="161163"/>
        <n v="52494"/>
        <n v="105864"/>
        <n v="246827"/>
        <n v="151682"/>
        <n v="134151"/>
        <n v="97386"/>
        <n v="179823"/>
        <n v="88126"/>
        <n v="188504"/>
        <n v="164023"/>
        <n v="82863"/>
        <n v="80291"/>
        <n v="127659"/>
        <n v="192944"/>
        <n v="9235"/>
        <n v="84733"/>
        <n v="64712"/>
        <n v="154545"/>
        <n v="200639"/>
        <n v="239890"/>
        <n v="127849"/>
        <n v="240471"/>
        <n v="81823"/>
        <n v="106215"/>
        <n v="243071"/>
        <n v="34230"/>
        <n v="86573"/>
        <n v="225660"/>
        <n v="201948"/>
        <n v="42644"/>
        <n v="181736"/>
        <n v="47203"/>
        <n v="68677"/>
        <n v="158497"/>
        <n v="125246"/>
        <n v="86817"/>
        <n v="240657"/>
        <n v="219033"/>
        <n v="233414"/>
        <n v="230721"/>
        <n v="71806"/>
        <n v="44814"/>
        <n v="72219"/>
        <n v="182718"/>
        <n v="172956"/>
        <n v="97345"/>
        <n v="102088"/>
        <n v="71322"/>
        <n v="23650"/>
        <n v="96242"/>
        <n v="142262"/>
        <n v="40196"/>
        <n v="172521"/>
        <n v="172733"/>
        <n v="31709"/>
        <n v="244037"/>
        <n v="82428"/>
        <n v="208251"/>
        <n v="11943"/>
        <n v="176312"/>
        <n v="178832"/>
        <n v="23042"/>
        <n v="45894"/>
        <n v="139941"/>
        <n v="194150"/>
        <n v="58759"/>
        <n v="107973"/>
        <n v="46306"/>
        <n v="110369"/>
        <n v="188443"/>
        <n v="153990"/>
        <n v="30379"/>
        <n v="122667"/>
        <n v="241547"/>
        <n v="223882"/>
        <n v="216304"/>
        <n v="136034"/>
        <n v="146923"/>
        <n v="119626"/>
        <n v="178819"/>
        <n v="127180"/>
        <n v="54349"/>
        <n v="203904"/>
        <n v="189428"/>
        <n v="147817"/>
        <n v="7730"/>
        <n v="146993"/>
        <n v="231502"/>
        <n v="204210"/>
        <n v="216183"/>
        <n v="21023"/>
        <n v="178421"/>
        <n v="128796"/>
        <n v="83533"/>
        <n v="85286"/>
        <n v="43979"/>
        <n v="24837"/>
        <n v="148069"/>
        <n v="106975"/>
        <n v="221675"/>
        <n v="178111"/>
        <n v="22923"/>
        <n v="10876"/>
        <n v="62973"/>
        <n v="135959"/>
        <n v="196795"/>
        <n v="44422"/>
        <n v="235462"/>
        <n v="53413"/>
        <n v="104484"/>
        <n v="135913"/>
        <n v="30756"/>
        <n v="73576"/>
        <n v="120248"/>
        <n v="12304"/>
        <n v="32341"/>
        <n v="137830"/>
        <n v="150082"/>
        <n v="129039"/>
        <n v="193830"/>
        <n v="164730"/>
        <n v="182074"/>
        <n v="236390"/>
        <n v="134447"/>
        <n v="101485"/>
        <n v="24092"/>
        <n v="133562"/>
        <n v="5729"/>
        <n v="139046"/>
        <n v="120222"/>
        <n v="87216"/>
        <n v="85860"/>
        <n v="98870"/>
        <n v="23398"/>
        <n v="36650"/>
        <n v="154364"/>
        <n v="234363"/>
        <n v="105889"/>
        <n v="5159"/>
        <n v="100162"/>
        <n v="195838"/>
        <n v="227959"/>
        <n v="104834"/>
        <n v="150137"/>
        <n v="23638"/>
        <n v="3073"/>
        <n v="179583"/>
        <n v="217379"/>
        <n v="234069"/>
        <n v="240938"/>
        <n v="31320"/>
        <n v="202948"/>
        <n v="36924"/>
        <n v="214792"/>
        <n v="173806"/>
        <n v="70116"/>
        <n v="173097"/>
        <n v="227575"/>
        <n v="4159"/>
        <n v="50940"/>
        <n v="81436"/>
        <n v="210048"/>
        <n v="16678"/>
        <n v="194147"/>
        <n v="180276"/>
        <n v="145093"/>
        <n v="139844"/>
        <n v="69163"/>
        <n v="243040"/>
        <n v="206827"/>
        <n v="156536"/>
        <n v="53137"/>
        <n v="163304"/>
        <n v="63497"/>
        <n v="241089"/>
        <n v="207096"/>
        <n v="102485"/>
        <n v="242970"/>
        <n v="184520"/>
        <n v="107468"/>
        <n v="217589"/>
        <n v="2901"/>
        <n v="89980"/>
        <n v="109594"/>
        <n v="216669"/>
        <n v="4881"/>
        <n v="31863"/>
        <n v="244434"/>
        <n v="138694"/>
        <n v="134450"/>
        <n v="216240"/>
        <n v="226919"/>
        <n v="204258"/>
        <n v="47201"/>
        <n v="240832"/>
        <n v="61251"/>
        <n v="74572"/>
        <n v="41255"/>
        <n v="65212"/>
        <n v="52210"/>
        <n v="127629"/>
        <n v="249808"/>
        <n v="24499"/>
        <n v="104552"/>
        <n v="184700"/>
        <n v="63360"/>
        <n v="137675"/>
        <n v="226381"/>
        <n v="129466"/>
        <n v="87473"/>
        <n v="145704"/>
        <n v="163679"/>
        <n v="93873"/>
        <n v="67756"/>
        <n v="180066"/>
        <n v="196454"/>
        <n v="203426"/>
        <n v="58344"/>
        <n v="186847"/>
        <n v="140421"/>
        <n v="73154"/>
        <n v="29464"/>
        <n v="175696"/>
        <n v="123897"/>
        <n v="39344"/>
        <n v="85791"/>
        <n v="157371"/>
        <n v="181047"/>
        <n v="134534"/>
        <n v="122209"/>
        <n v="83441"/>
        <n v="92456"/>
        <n v="83788"/>
        <n v="239612"/>
        <n v="173653"/>
        <n v="233444"/>
        <n v="204361"/>
        <n v="238613"/>
        <n v="16175"/>
        <n v="139263"/>
        <n v="85434"/>
        <n v="86518"/>
        <n v="213230"/>
        <n v="68537"/>
        <n v="117721"/>
        <n v="49645"/>
        <n v="241608"/>
        <n v="25283"/>
        <n v="88971"/>
        <n v="94759"/>
        <n v="192195"/>
        <n v="104780"/>
        <n v="163096"/>
        <n v="182702"/>
        <n v="32734"/>
        <n v="2515"/>
        <n v="112782"/>
        <n v="68727"/>
        <n v="230872"/>
        <n v="111164"/>
        <n v="48216"/>
        <n v="73833"/>
        <n v="60755"/>
        <n v="29856"/>
        <n v="248031"/>
        <n v="75870"/>
        <n v="157234"/>
        <n v="139080"/>
        <n v="9987"/>
        <n v="195604"/>
        <n v="98502"/>
        <n v="136404"/>
        <n v="68323"/>
        <n v="172062"/>
        <n v="11873"/>
        <n v="215614"/>
        <n v="218833"/>
        <n v="169516"/>
        <n v="168412"/>
        <n v="107219"/>
        <n v="7033"/>
        <n v="75324"/>
        <n v="17689"/>
        <n v="111756"/>
        <n v="220206"/>
        <n v="236088"/>
        <n v="228311"/>
        <n v="2066"/>
        <n v="116159"/>
        <n v="178318"/>
        <n v="9533"/>
        <n v="213711"/>
        <n v="203224"/>
        <n v="244653"/>
        <n v="117828"/>
        <n v="61658"/>
        <n v="40498"/>
        <n v="111028"/>
        <n v="13772"/>
        <n v="91385"/>
        <n v="182108"/>
        <n v="191603"/>
        <n v="14940"/>
        <n v="120027"/>
        <n v="18932"/>
        <n v="228377"/>
        <n v="189899"/>
        <n v="194503"/>
        <n v="26648"/>
        <n v="246019"/>
        <n v="34966"/>
        <n v="160849"/>
        <n v="165639"/>
        <n v="248331"/>
        <n v="150246"/>
        <n v="44598"/>
        <n v="192271"/>
        <n v="146870"/>
        <n v="198436"/>
        <n v="150630"/>
        <n v="63084"/>
        <n v="177309"/>
        <n v="198569"/>
        <n v="133250"/>
        <n v="219078"/>
        <n v="19118"/>
        <n v="24616"/>
        <n v="133870"/>
        <n v="9601"/>
        <n v="27363"/>
        <n v="4795"/>
        <n v="99462"/>
        <n v="178336"/>
        <n v="104892"/>
        <n v="74833"/>
        <n v="5084"/>
        <n v="97865"/>
        <n v="209718"/>
        <n v="2731"/>
        <n v="134201"/>
        <n v="161094"/>
        <n v="3605"/>
        <n v="79506"/>
        <n v="242313"/>
        <n v="46130"/>
        <n v="162337"/>
        <n v="165402"/>
        <n v="70469"/>
        <n v="148259"/>
        <n v="158863"/>
        <n v="92436"/>
        <n v="203682"/>
        <n v="114341"/>
        <n v="225034"/>
        <n v="172939"/>
        <n v="249250"/>
        <n v="133965"/>
        <n v="101694"/>
        <n v="21773"/>
        <n v="6239"/>
        <n v="22863"/>
        <n v="53415"/>
        <n v="70968"/>
        <n v="233747"/>
        <n v="62430"/>
        <n v="3515"/>
        <n v="99206"/>
        <n v="247282"/>
        <n v="237702"/>
        <n v="147677"/>
        <n v="58240"/>
        <n v="7586"/>
        <n v="234293"/>
        <n v="122419"/>
        <n v="124374"/>
        <n v="247277"/>
        <n v="33186"/>
        <n v="28928"/>
        <n v="231336"/>
        <n v="216159"/>
        <n v="124990"/>
        <n v="89029"/>
        <n v="22711"/>
        <n v="56962"/>
        <n v="22039"/>
        <n v="38561"/>
        <n v="208555"/>
        <n v="230943"/>
        <n v="214467"/>
        <n v="221730"/>
        <n v="3577"/>
        <n v="109792"/>
        <n v="161422"/>
        <n v="249980"/>
        <n v="240540"/>
        <n v="166870"/>
        <n v="230506"/>
        <n v="214489"/>
        <n v="12785"/>
        <n v="74227"/>
        <n v="120680"/>
        <n v="63957"/>
        <n v="67431"/>
        <n v="150369"/>
        <n v="73894"/>
        <n v="249941"/>
        <n v="196844"/>
        <n v="152653"/>
        <n v="57192"/>
        <n v="3462"/>
        <n v="130848"/>
        <n v="197245"/>
        <n v="148583"/>
        <n v="78106"/>
        <n v="50665"/>
        <n v="177486"/>
        <n v="83010"/>
        <n v="74573"/>
        <n v="226737"/>
        <n v="109803"/>
        <n v="121682"/>
        <n v="15386"/>
        <n v="126069"/>
        <n v="56460"/>
        <n v="139293"/>
        <n v="156546"/>
        <n v="239145"/>
        <n v="117375"/>
        <n v="114660"/>
        <n v="154117"/>
        <n v="93319"/>
        <n v="118582"/>
        <n v="238765"/>
        <n v="137994"/>
        <n v="245015"/>
        <n v="155778"/>
        <n v="44771"/>
        <n v="54335"/>
        <n v="231087"/>
        <n v="54949"/>
        <n v="203786"/>
        <n v="97558"/>
        <n v="148312"/>
        <n v="224828"/>
        <n v="104272"/>
        <n v="4716"/>
        <n v="149646"/>
        <n v="244887"/>
        <n v="216327"/>
        <n v="206789"/>
        <n v="244371"/>
        <n v="177138"/>
        <n v="248138"/>
        <n v="194898"/>
        <n v="153285"/>
        <n v="73916"/>
        <n v="199223"/>
        <n v="52906"/>
        <n v="2463"/>
        <n v="165045"/>
        <n v="76694"/>
        <n v="153723"/>
        <n v="70694"/>
        <n v="22008"/>
        <n v="244810"/>
        <n v="72474"/>
        <n v="40185"/>
        <n v="89924"/>
        <n v="207489"/>
        <n v="204211"/>
        <n v="36980"/>
        <n v="24504"/>
        <n v="56970"/>
        <n v="18766"/>
        <n v="118944"/>
        <n v="95922"/>
        <n v="144767"/>
        <n v="150868"/>
        <n v="175615"/>
        <n v="147631"/>
        <n v="237522"/>
        <n v="166211"/>
        <n v="122494"/>
        <n v="236941"/>
        <n v="10802"/>
        <n v="206915"/>
        <n v="173277"/>
        <n v="231822"/>
        <n v="36159"/>
        <n v="13516"/>
        <n v="52492"/>
        <n v="31086"/>
        <n v="115758"/>
        <n v="32480"/>
        <n v="185163"/>
        <n v="130023"/>
        <n v="112195"/>
        <n v="180838"/>
        <n v="40737"/>
        <n v="11265"/>
        <n v="116165"/>
        <n v="121501"/>
        <n v="72990"/>
        <n v="234526"/>
        <n v="224789"/>
        <n v="17386"/>
        <n v="106718"/>
        <n v="39425"/>
        <n v="123635"/>
        <n v="176326"/>
        <n v="222935"/>
        <n v="55634"/>
        <n v="219789"/>
        <n v="180734"/>
        <n v="88988"/>
        <n v="236856"/>
        <n v="108337"/>
        <n v="232359"/>
        <n v="220599"/>
        <n v="239919"/>
        <n v="208524"/>
        <n v="143215"/>
        <n v="224463"/>
        <n v="148653"/>
        <n v="69443"/>
        <n v="31424"/>
        <n v="90844"/>
        <n v="43984"/>
        <n v="43505"/>
        <n v="245133"/>
        <n v="104478"/>
        <n v="64699"/>
        <n v="160029"/>
        <n v="158536"/>
        <n v="116012"/>
        <n v="156721"/>
        <n v="175137"/>
        <n v="225733"/>
        <n v="36758"/>
        <n v="138668"/>
        <n v="18374"/>
        <n v="120686"/>
        <n v="5775"/>
        <n v="29388"/>
        <n v="125800"/>
        <n v="23029"/>
        <n v="85981"/>
        <n v="55639"/>
        <n v="116010"/>
        <n v="147717"/>
        <n v="33105"/>
        <n v="146740"/>
        <n v="149032"/>
        <n v="128519"/>
        <n v="144429"/>
        <n v="197676"/>
        <n v="104739"/>
        <n v="53796"/>
        <n v="17804"/>
        <n v="129732"/>
        <n v="248805"/>
        <n v="147698"/>
        <n v="161204"/>
        <n v="9951"/>
        <n v="139521"/>
        <n v="21065"/>
        <n v="103503"/>
        <n v="107072"/>
        <n v="142202"/>
        <n v="91360"/>
        <n v="64287"/>
        <n v="240009"/>
        <n v="184774"/>
        <n v="170065"/>
        <n v="164947"/>
        <n v="248356"/>
        <n v="139126"/>
        <n v="232881"/>
        <n v="109357"/>
        <n v="181589"/>
        <n v="209440"/>
        <n v="31670"/>
        <n v="51112"/>
        <n v="90388"/>
        <n v="91156"/>
        <n v="161379"/>
        <n v="246159"/>
        <n v="200159"/>
        <n v="49922"/>
        <n v="196152"/>
        <n v="95348"/>
        <n v="81335"/>
        <n v="28312"/>
        <n v="238228"/>
        <n v="68985"/>
        <n v="132744"/>
        <n v="190680"/>
        <n v="223034"/>
        <n v="102963"/>
        <n v="173349"/>
        <n v="33551"/>
        <n v="91813"/>
        <n v="189669"/>
        <n v="103025"/>
        <n v="126342"/>
        <n v="178284"/>
        <n v="11637"/>
        <n v="45258"/>
        <n v="168765"/>
        <n v="142896"/>
        <n v="131553"/>
        <n v="28950"/>
        <n v="156560"/>
        <n v="129870"/>
        <n v="237616"/>
        <n v="248272"/>
        <n v="2215"/>
        <n v="107603"/>
        <n v="13523"/>
        <n v="208972"/>
        <n v="70689"/>
        <n v="25834"/>
        <n v="36474"/>
        <n v="45066"/>
        <n v="232943"/>
        <n v="12400"/>
        <n v="127211"/>
        <n v="12345"/>
        <n v="35896"/>
        <n v="218502"/>
        <n v="30899"/>
        <n v="239243"/>
        <n v="30229"/>
        <n v="7583"/>
        <n v="137969"/>
        <n v="73537"/>
        <n v="242489"/>
        <n v="137639"/>
        <n v="76807"/>
        <n v="131648"/>
        <n v="114652"/>
        <n v="210311"/>
      </sharedItems>
    </cacheField>
    <cacheField name="Insurance" numFmtId="0">
      <sharedItems count="2">
        <s v="No"/>
        <s v="Yes"/>
      </sharedItems>
    </cacheField>
    <cacheField name="Payment_Mode" numFmtId="0">
      <sharedItems count="3">
        <s v="Card"/>
        <s v="Insurance"/>
        <s v="Cash"/>
      </sharedItems>
    </cacheField>
    <cacheField name="Outcome" numFmtId="0">
      <sharedItems count="4">
        <s v="Discharged"/>
        <s v="Deceased"/>
        <s v="Under Treatment"/>
        <s v="Recovered"/>
      </sharedItems>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567626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52"/>
    <x v="0"/>
    <x v="0"/>
    <x v="0"/>
    <x v="0"/>
    <x v="0"/>
    <n v="16"/>
    <x v="0"/>
    <x v="0"/>
    <x v="0"/>
    <x v="0"/>
    <n v="2"/>
  </r>
  <r>
    <x v="1"/>
    <n v="15"/>
    <x v="1"/>
    <x v="1"/>
    <x v="0"/>
    <x v="0"/>
    <x v="1"/>
    <n v="8"/>
    <x v="1"/>
    <x v="0"/>
    <x v="0"/>
    <x v="1"/>
    <n v="5"/>
  </r>
  <r>
    <x v="2"/>
    <n v="72"/>
    <x v="2"/>
    <x v="1"/>
    <x v="1"/>
    <x v="0"/>
    <x v="1"/>
    <n v="8"/>
    <x v="2"/>
    <x v="1"/>
    <x v="1"/>
    <x v="0"/>
    <n v="1"/>
  </r>
  <r>
    <x v="3"/>
    <n v="61"/>
    <x v="2"/>
    <x v="0"/>
    <x v="1"/>
    <x v="1"/>
    <x v="2"/>
    <n v="8"/>
    <x v="3"/>
    <x v="1"/>
    <x v="0"/>
    <x v="2"/>
    <n v="3"/>
  </r>
  <r>
    <x v="4"/>
    <n v="21"/>
    <x v="3"/>
    <x v="1"/>
    <x v="2"/>
    <x v="2"/>
    <x v="0"/>
    <n v="13"/>
    <x v="4"/>
    <x v="1"/>
    <x v="2"/>
    <x v="2"/>
    <n v="5"/>
  </r>
  <r>
    <x v="5"/>
    <n v="83"/>
    <x v="2"/>
    <x v="1"/>
    <x v="3"/>
    <x v="2"/>
    <x v="2"/>
    <n v="2"/>
    <x v="5"/>
    <x v="1"/>
    <x v="0"/>
    <x v="0"/>
    <n v="2"/>
  </r>
  <r>
    <x v="6"/>
    <n v="87"/>
    <x v="2"/>
    <x v="1"/>
    <x v="4"/>
    <x v="0"/>
    <x v="0"/>
    <n v="12"/>
    <x v="6"/>
    <x v="1"/>
    <x v="0"/>
    <x v="0"/>
    <n v="4"/>
  </r>
  <r>
    <x v="7"/>
    <n v="75"/>
    <x v="2"/>
    <x v="1"/>
    <x v="5"/>
    <x v="3"/>
    <x v="1"/>
    <n v="10"/>
    <x v="7"/>
    <x v="1"/>
    <x v="2"/>
    <x v="1"/>
    <n v="1"/>
  </r>
  <r>
    <x v="8"/>
    <n v="75"/>
    <x v="2"/>
    <x v="1"/>
    <x v="2"/>
    <x v="2"/>
    <x v="0"/>
    <n v="12"/>
    <x v="8"/>
    <x v="0"/>
    <x v="0"/>
    <x v="0"/>
    <n v="3"/>
  </r>
  <r>
    <x v="9"/>
    <n v="88"/>
    <x v="2"/>
    <x v="1"/>
    <x v="1"/>
    <x v="1"/>
    <x v="2"/>
    <n v="11"/>
    <x v="9"/>
    <x v="1"/>
    <x v="1"/>
    <x v="1"/>
    <n v="5"/>
  </r>
  <r>
    <x v="10"/>
    <n v="24"/>
    <x v="3"/>
    <x v="1"/>
    <x v="5"/>
    <x v="4"/>
    <x v="2"/>
    <n v="15"/>
    <x v="10"/>
    <x v="1"/>
    <x v="2"/>
    <x v="2"/>
    <n v="5"/>
  </r>
  <r>
    <x v="11"/>
    <n v="3"/>
    <x v="1"/>
    <x v="1"/>
    <x v="1"/>
    <x v="4"/>
    <x v="2"/>
    <n v="16"/>
    <x v="11"/>
    <x v="0"/>
    <x v="1"/>
    <x v="3"/>
    <n v="1"/>
  </r>
  <r>
    <x v="12"/>
    <n v="22"/>
    <x v="3"/>
    <x v="1"/>
    <x v="5"/>
    <x v="4"/>
    <x v="0"/>
    <n v="17"/>
    <x v="12"/>
    <x v="1"/>
    <x v="2"/>
    <x v="3"/>
    <n v="4"/>
  </r>
  <r>
    <x v="13"/>
    <n v="53"/>
    <x v="0"/>
    <x v="1"/>
    <x v="4"/>
    <x v="3"/>
    <x v="1"/>
    <n v="2"/>
    <x v="13"/>
    <x v="0"/>
    <x v="1"/>
    <x v="3"/>
    <n v="2"/>
  </r>
  <r>
    <x v="14"/>
    <n v="2"/>
    <x v="1"/>
    <x v="0"/>
    <x v="2"/>
    <x v="0"/>
    <x v="1"/>
    <n v="18"/>
    <x v="14"/>
    <x v="1"/>
    <x v="1"/>
    <x v="3"/>
    <n v="4"/>
  </r>
  <r>
    <x v="15"/>
    <n v="88"/>
    <x v="2"/>
    <x v="0"/>
    <x v="5"/>
    <x v="1"/>
    <x v="0"/>
    <n v="12"/>
    <x v="15"/>
    <x v="0"/>
    <x v="0"/>
    <x v="2"/>
    <n v="4"/>
  </r>
  <r>
    <x v="16"/>
    <n v="30"/>
    <x v="3"/>
    <x v="1"/>
    <x v="3"/>
    <x v="3"/>
    <x v="2"/>
    <n v="19"/>
    <x v="16"/>
    <x v="0"/>
    <x v="1"/>
    <x v="3"/>
    <n v="4"/>
  </r>
  <r>
    <x v="17"/>
    <n v="38"/>
    <x v="3"/>
    <x v="0"/>
    <x v="0"/>
    <x v="1"/>
    <x v="1"/>
    <n v="18"/>
    <x v="17"/>
    <x v="0"/>
    <x v="0"/>
    <x v="0"/>
    <n v="1"/>
  </r>
  <r>
    <x v="18"/>
    <n v="2"/>
    <x v="1"/>
    <x v="0"/>
    <x v="3"/>
    <x v="1"/>
    <x v="2"/>
    <n v="17"/>
    <x v="18"/>
    <x v="0"/>
    <x v="2"/>
    <x v="0"/>
    <n v="1"/>
  </r>
  <r>
    <x v="19"/>
    <n v="64"/>
    <x v="2"/>
    <x v="1"/>
    <x v="3"/>
    <x v="0"/>
    <x v="0"/>
    <n v="6"/>
    <x v="19"/>
    <x v="0"/>
    <x v="1"/>
    <x v="3"/>
    <n v="2"/>
  </r>
  <r>
    <x v="20"/>
    <n v="60"/>
    <x v="0"/>
    <x v="1"/>
    <x v="0"/>
    <x v="4"/>
    <x v="2"/>
    <n v="15"/>
    <x v="20"/>
    <x v="1"/>
    <x v="1"/>
    <x v="0"/>
    <n v="4"/>
  </r>
  <r>
    <x v="21"/>
    <n v="21"/>
    <x v="3"/>
    <x v="1"/>
    <x v="3"/>
    <x v="0"/>
    <x v="1"/>
    <n v="3"/>
    <x v="21"/>
    <x v="1"/>
    <x v="2"/>
    <x v="1"/>
    <n v="1"/>
  </r>
  <r>
    <x v="22"/>
    <n v="33"/>
    <x v="3"/>
    <x v="0"/>
    <x v="5"/>
    <x v="3"/>
    <x v="1"/>
    <n v="6"/>
    <x v="22"/>
    <x v="0"/>
    <x v="2"/>
    <x v="2"/>
    <n v="2"/>
  </r>
  <r>
    <x v="23"/>
    <n v="76"/>
    <x v="2"/>
    <x v="0"/>
    <x v="5"/>
    <x v="3"/>
    <x v="2"/>
    <n v="3"/>
    <x v="23"/>
    <x v="0"/>
    <x v="1"/>
    <x v="3"/>
    <n v="2"/>
  </r>
  <r>
    <x v="24"/>
    <n v="58"/>
    <x v="0"/>
    <x v="1"/>
    <x v="5"/>
    <x v="3"/>
    <x v="0"/>
    <n v="1"/>
    <x v="24"/>
    <x v="0"/>
    <x v="2"/>
    <x v="3"/>
    <n v="4"/>
  </r>
  <r>
    <x v="25"/>
    <n v="22"/>
    <x v="3"/>
    <x v="1"/>
    <x v="0"/>
    <x v="0"/>
    <x v="2"/>
    <n v="13"/>
    <x v="25"/>
    <x v="1"/>
    <x v="0"/>
    <x v="2"/>
    <n v="3"/>
  </r>
  <r>
    <x v="26"/>
    <n v="89"/>
    <x v="2"/>
    <x v="1"/>
    <x v="3"/>
    <x v="1"/>
    <x v="0"/>
    <n v="14"/>
    <x v="26"/>
    <x v="0"/>
    <x v="2"/>
    <x v="0"/>
    <n v="4"/>
  </r>
  <r>
    <x v="27"/>
    <n v="49"/>
    <x v="0"/>
    <x v="0"/>
    <x v="0"/>
    <x v="1"/>
    <x v="2"/>
    <n v="13"/>
    <x v="27"/>
    <x v="0"/>
    <x v="2"/>
    <x v="2"/>
    <n v="3"/>
  </r>
  <r>
    <x v="28"/>
    <n v="59"/>
    <x v="0"/>
    <x v="0"/>
    <x v="5"/>
    <x v="2"/>
    <x v="1"/>
    <n v="4"/>
    <x v="28"/>
    <x v="0"/>
    <x v="1"/>
    <x v="2"/>
    <n v="2"/>
  </r>
  <r>
    <x v="29"/>
    <n v="42"/>
    <x v="0"/>
    <x v="0"/>
    <x v="3"/>
    <x v="3"/>
    <x v="0"/>
    <n v="7"/>
    <x v="29"/>
    <x v="0"/>
    <x v="0"/>
    <x v="0"/>
    <n v="1"/>
  </r>
  <r>
    <x v="30"/>
    <n v="60"/>
    <x v="0"/>
    <x v="0"/>
    <x v="3"/>
    <x v="1"/>
    <x v="0"/>
    <n v="10"/>
    <x v="30"/>
    <x v="1"/>
    <x v="2"/>
    <x v="2"/>
    <n v="5"/>
  </r>
  <r>
    <x v="31"/>
    <n v="80"/>
    <x v="2"/>
    <x v="1"/>
    <x v="1"/>
    <x v="2"/>
    <x v="0"/>
    <n v="7"/>
    <x v="31"/>
    <x v="0"/>
    <x v="0"/>
    <x v="0"/>
    <n v="2"/>
  </r>
  <r>
    <x v="32"/>
    <n v="15"/>
    <x v="1"/>
    <x v="1"/>
    <x v="1"/>
    <x v="1"/>
    <x v="1"/>
    <n v="15"/>
    <x v="32"/>
    <x v="0"/>
    <x v="0"/>
    <x v="0"/>
    <n v="1"/>
  </r>
  <r>
    <x v="33"/>
    <n v="62"/>
    <x v="2"/>
    <x v="1"/>
    <x v="4"/>
    <x v="3"/>
    <x v="2"/>
    <n v="15"/>
    <x v="33"/>
    <x v="1"/>
    <x v="0"/>
    <x v="2"/>
    <n v="2"/>
  </r>
  <r>
    <x v="34"/>
    <n v="62"/>
    <x v="2"/>
    <x v="1"/>
    <x v="2"/>
    <x v="4"/>
    <x v="1"/>
    <n v="4"/>
    <x v="34"/>
    <x v="0"/>
    <x v="1"/>
    <x v="1"/>
    <n v="4"/>
  </r>
  <r>
    <x v="35"/>
    <n v="47"/>
    <x v="0"/>
    <x v="0"/>
    <x v="1"/>
    <x v="3"/>
    <x v="0"/>
    <n v="6"/>
    <x v="35"/>
    <x v="0"/>
    <x v="2"/>
    <x v="0"/>
    <n v="3"/>
  </r>
  <r>
    <x v="36"/>
    <n v="62"/>
    <x v="2"/>
    <x v="0"/>
    <x v="0"/>
    <x v="0"/>
    <x v="2"/>
    <n v="5"/>
    <x v="36"/>
    <x v="1"/>
    <x v="1"/>
    <x v="2"/>
    <n v="2"/>
  </r>
  <r>
    <x v="37"/>
    <n v="51"/>
    <x v="0"/>
    <x v="1"/>
    <x v="1"/>
    <x v="1"/>
    <x v="1"/>
    <n v="12"/>
    <x v="37"/>
    <x v="1"/>
    <x v="2"/>
    <x v="0"/>
    <n v="1"/>
  </r>
  <r>
    <x v="38"/>
    <n v="55"/>
    <x v="0"/>
    <x v="1"/>
    <x v="4"/>
    <x v="1"/>
    <x v="0"/>
    <n v="1"/>
    <x v="38"/>
    <x v="1"/>
    <x v="2"/>
    <x v="1"/>
    <n v="4"/>
  </r>
  <r>
    <x v="39"/>
    <n v="64"/>
    <x v="2"/>
    <x v="0"/>
    <x v="3"/>
    <x v="0"/>
    <x v="0"/>
    <n v="8"/>
    <x v="39"/>
    <x v="0"/>
    <x v="1"/>
    <x v="1"/>
    <n v="5"/>
  </r>
  <r>
    <x v="40"/>
    <n v="3"/>
    <x v="1"/>
    <x v="1"/>
    <x v="4"/>
    <x v="0"/>
    <x v="1"/>
    <n v="1"/>
    <x v="40"/>
    <x v="0"/>
    <x v="0"/>
    <x v="3"/>
    <n v="4"/>
  </r>
  <r>
    <x v="41"/>
    <n v="51"/>
    <x v="0"/>
    <x v="0"/>
    <x v="3"/>
    <x v="4"/>
    <x v="1"/>
    <n v="5"/>
    <x v="41"/>
    <x v="1"/>
    <x v="0"/>
    <x v="0"/>
    <n v="3"/>
  </r>
  <r>
    <x v="42"/>
    <n v="7"/>
    <x v="1"/>
    <x v="1"/>
    <x v="3"/>
    <x v="1"/>
    <x v="1"/>
    <n v="6"/>
    <x v="42"/>
    <x v="1"/>
    <x v="2"/>
    <x v="0"/>
    <n v="4"/>
  </r>
  <r>
    <x v="43"/>
    <n v="21"/>
    <x v="3"/>
    <x v="1"/>
    <x v="2"/>
    <x v="1"/>
    <x v="0"/>
    <n v="3"/>
    <x v="43"/>
    <x v="1"/>
    <x v="1"/>
    <x v="2"/>
    <n v="5"/>
  </r>
  <r>
    <x v="44"/>
    <n v="73"/>
    <x v="2"/>
    <x v="1"/>
    <x v="1"/>
    <x v="4"/>
    <x v="1"/>
    <n v="15"/>
    <x v="44"/>
    <x v="0"/>
    <x v="0"/>
    <x v="0"/>
    <n v="1"/>
  </r>
  <r>
    <x v="45"/>
    <n v="39"/>
    <x v="3"/>
    <x v="1"/>
    <x v="0"/>
    <x v="2"/>
    <x v="0"/>
    <n v="5"/>
    <x v="45"/>
    <x v="0"/>
    <x v="0"/>
    <x v="3"/>
    <n v="2"/>
  </r>
  <r>
    <x v="46"/>
    <n v="18"/>
    <x v="1"/>
    <x v="1"/>
    <x v="0"/>
    <x v="4"/>
    <x v="1"/>
    <n v="14"/>
    <x v="46"/>
    <x v="1"/>
    <x v="2"/>
    <x v="1"/>
    <n v="3"/>
  </r>
  <r>
    <x v="47"/>
    <n v="4"/>
    <x v="1"/>
    <x v="1"/>
    <x v="5"/>
    <x v="3"/>
    <x v="0"/>
    <n v="18"/>
    <x v="47"/>
    <x v="0"/>
    <x v="2"/>
    <x v="1"/>
    <n v="5"/>
  </r>
  <r>
    <x v="48"/>
    <n v="89"/>
    <x v="2"/>
    <x v="1"/>
    <x v="3"/>
    <x v="1"/>
    <x v="0"/>
    <n v="16"/>
    <x v="48"/>
    <x v="1"/>
    <x v="1"/>
    <x v="3"/>
    <n v="3"/>
  </r>
  <r>
    <x v="49"/>
    <n v="60"/>
    <x v="0"/>
    <x v="0"/>
    <x v="0"/>
    <x v="0"/>
    <x v="2"/>
    <n v="6"/>
    <x v="49"/>
    <x v="0"/>
    <x v="2"/>
    <x v="0"/>
    <n v="4"/>
  </r>
  <r>
    <x v="50"/>
    <n v="14"/>
    <x v="1"/>
    <x v="0"/>
    <x v="2"/>
    <x v="3"/>
    <x v="1"/>
    <n v="14"/>
    <x v="50"/>
    <x v="0"/>
    <x v="0"/>
    <x v="0"/>
    <n v="3"/>
  </r>
  <r>
    <x v="51"/>
    <n v="9"/>
    <x v="1"/>
    <x v="0"/>
    <x v="3"/>
    <x v="1"/>
    <x v="1"/>
    <n v="8"/>
    <x v="51"/>
    <x v="0"/>
    <x v="0"/>
    <x v="3"/>
    <n v="5"/>
  </r>
  <r>
    <x v="52"/>
    <n v="53"/>
    <x v="0"/>
    <x v="0"/>
    <x v="2"/>
    <x v="4"/>
    <x v="0"/>
    <n v="7"/>
    <x v="52"/>
    <x v="0"/>
    <x v="0"/>
    <x v="2"/>
    <n v="2"/>
  </r>
  <r>
    <x v="53"/>
    <n v="2"/>
    <x v="1"/>
    <x v="0"/>
    <x v="0"/>
    <x v="3"/>
    <x v="0"/>
    <n v="8"/>
    <x v="53"/>
    <x v="1"/>
    <x v="0"/>
    <x v="1"/>
    <n v="2"/>
  </r>
  <r>
    <x v="54"/>
    <n v="84"/>
    <x v="2"/>
    <x v="1"/>
    <x v="0"/>
    <x v="1"/>
    <x v="0"/>
    <n v="13"/>
    <x v="54"/>
    <x v="0"/>
    <x v="1"/>
    <x v="3"/>
    <n v="3"/>
  </r>
  <r>
    <x v="55"/>
    <n v="60"/>
    <x v="0"/>
    <x v="1"/>
    <x v="5"/>
    <x v="2"/>
    <x v="2"/>
    <n v="6"/>
    <x v="55"/>
    <x v="0"/>
    <x v="1"/>
    <x v="3"/>
    <n v="1"/>
  </r>
  <r>
    <x v="56"/>
    <n v="71"/>
    <x v="2"/>
    <x v="0"/>
    <x v="0"/>
    <x v="2"/>
    <x v="2"/>
    <n v="18"/>
    <x v="56"/>
    <x v="1"/>
    <x v="2"/>
    <x v="0"/>
    <n v="3"/>
  </r>
  <r>
    <x v="57"/>
    <n v="44"/>
    <x v="0"/>
    <x v="1"/>
    <x v="3"/>
    <x v="0"/>
    <x v="0"/>
    <n v="2"/>
    <x v="57"/>
    <x v="0"/>
    <x v="2"/>
    <x v="1"/>
    <n v="4"/>
  </r>
  <r>
    <x v="58"/>
    <n v="8"/>
    <x v="1"/>
    <x v="0"/>
    <x v="3"/>
    <x v="1"/>
    <x v="1"/>
    <n v="8"/>
    <x v="58"/>
    <x v="1"/>
    <x v="2"/>
    <x v="0"/>
    <n v="2"/>
  </r>
  <r>
    <x v="59"/>
    <n v="47"/>
    <x v="0"/>
    <x v="0"/>
    <x v="3"/>
    <x v="2"/>
    <x v="1"/>
    <n v="11"/>
    <x v="59"/>
    <x v="1"/>
    <x v="1"/>
    <x v="3"/>
    <n v="2"/>
  </r>
  <r>
    <x v="60"/>
    <n v="35"/>
    <x v="3"/>
    <x v="1"/>
    <x v="5"/>
    <x v="4"/>
    <x v="2"/>
    <n v="1"/>
    <x v="60"/>
    <x v="0"/>
    <x v="0"/>
    <x v="2"/>
    <n v="2"/>
  </r>
  <r>
    <x v="61"/>
    <n v="78"/>
    <x v="2"/>
    <x v="1"/>
    <x v="5"/>
    <x v="1"/>
    <x v="2"/>
    <n v="6"/>
    <x v="61"/>
    <x v="0"/>
    <x v="2"/>
    <x v="1"/>
    <n v="1"/>
  </r>
  <r>
    <x v="62"/>
    <n v="81"/>
    <x v="2"/>
    <x v="1"/>
    <x v="0"/>
    <x v="4"/>
    <x v="0"/>
    <n v="16"/>
    <x v="62"/>
    <x v="1"/>
    <x v="0"/>
    <x v="3"/>
    <n v="1"/>
  </r>
  <r>
    <x v="63"/>
    <n v="36"/>
    <x v="3"/>
    <x v="0"/>
    <x v="4"/>
    <x v="4"/>
    <x v="1"/>
    <n v="12"/>
    <x v="63"/>
    <x v="1"/>
    <x v="2"/>
    <x v="3"/>
    <n v="5"/>
  </r>
  <r>
    <x v="64"/>
    <n v="50"/>
    <x v="0"/>
    <x v="1"/>
    <x v="4"/>
    <x v="2"/>
    <x v="0"/>
    <n v="11"/>
    <x v="64"/>
    <x v="1"/>
    <x v="2"/>
    <x v="2"/>
    <n v="3"/>
  </r>
  <r>
    <x v="65"/>
    <n v="4"/>
    <x v="1"/>
    <x v="0"/>
    <x v="5"/>
    <x v="1"/>
    <x v="2"/>
    <n v="10"/>
    <x v="65"/>
    <x v="0"/>
    <x v="2"/>
    <x v="3"/>
    <n v="3"/>
  </r>
  <r>
    <x v="66"/>
    <n v="2"/>
    <x v="1"/>
    <x v="0"/>
    <x v="0"/>
    <x v="3"/>
    <x v="1"/>
    <n v="3"/>
    <x v="66"/>
    <x v="1"/>
    <x v="2"/>
    <x v="3"/>
    <n v="4"/>
  </r>
  <r>
    <x v="67"/>
    <n v="6"/>
    <x v="1"/>
    <x v="0"/>
    <x v="4"/>
    <x v="2"/>
    <x v="1"/>
    <n v="13"/>
    <x v="67"/>
    <x v="1"/>
    <x v="2"/>
    <x v="1"/>
    <n v="2"/>
  </r>
  <r>
    <x v="68"/>
    <n v="54"/>
    <x v="0"/>
    <x v="1"/>
    <x v="0"/>
    <x v="2"/>
    <x v="2"/>
    <n v="3"/>
    <x v="68"/>
    <x v="1"/>
    <x v="0"/>
    <x v="1"/>
    <n v="1"/>
  </r>
  <r>
    <x v="69"/>
    <n v="4"/>
    <x v="1"/>
    <x v="1"/>
    <x v="0"/>
    <x v="1"/>
    <x v="0"/>
    <n v="15"/>
    <x v="69"/>
    <x v="0"/>
    <x v="2"/>
    <x v="1"/>
    <n v="4"/>
  </r>
  <r>
    <x v="70"/>
    <n v="54"/>
    <x v="0"/>
    <x v="0"/>
    <x v="0"/>
    <x v="1"/>
    <x v="0"/>
    <n v="16"/>
    <x v="70"/>
    <x v="1"/>
    <x v="0"/>
    <x v="0"/>
    <n v="4"/>
  </r>
  <r>
    <x v="71"/>
    <n v="63"/>
    <x v="2"/>
    <x v="1"/>
    <x v="1"/>
    <x v="4"/>
    <x v="1"/>
    <n v="13"/>
    <x v="71"/>
    <x v="0"/>
    <x v="1"/>
    <x v="2"/>
    <n v="1"/>
  </r>
  <r>
    <x v="72"/>
    <n v="18"/>
    <x v="1"/>
    <x v="1"/>
    <x v="3"/>
    <x v="1"/>
    <x v="2"/>
    <n v="17"/>
    <x v="72"/>
    <x v="0"/>
    <x v="2"/>
    <x v="1"/>
    <n v="3"/>
  </r>
  <r>
    <x v="73"/>
    <n v="44"/>
    <x v="0"/>
    <x v="1"/>
    <x v="0"/>
    <x v="4"/>
    <x v="1"/>
    <n v="3"/>
    <x v="73"/>
    <x v="1"/>
    <x v="0"/>
    <x v="0"/>
    <n v="2"/>
  </r>
  <r>
    <x v="74"/>
    <n v="34"/>
    <x v="3"/>
    <x v="0"/>
    <x v="1"/>
    <x v="2"/>
    <x v="2"/>
    <n v="11"/>
    <x v="74"/>
    <x v="0"/>
    <x v="1"/>
    <x v="0"/>
    <n v="3"/>
  </r>
  <r>
    <x v="75"/>
    <n v="74"/>
    <x v="2"/>
    <x v="0"/>
    <x v="5"/>
    <x v="0"/>
    <x v="0"/>
    <n v="19"/>
    <x v="75"/>
    <x v="1"/>
    <x v="1"/>
    <x v="2"/>
    <n v="4"/>
  </r>
  <r>
    <x v="76"/>
    <n v="62"/>
    <x v="2"/>
    <x v="1"/>
    <x v="4"/>
    <x v="3"/>
    <x v="2"/>
    <n v="11"/>
    <x v="76"/>
    <x v="0"/>
    <x v="1"/>
    <x v="2"/>
    <n v="2"/>
  </r>
  <r>
    <x v="77"/>
    <n v="14"/>
    <x v="1"/>
    <x v="0"/>
    <x v="3"/>
    <x v="2"/>
    <x v="0"/>
    <n v="16"/>
    <x v="77"/>
    <x v="0"/>
    <x v="0"/>
    <x v="3"/>
    <n v="5"/>
  </r>
  <r>
    <x v="78"/>
    <n v="48"/>
    <x v="0"/>
    <x v="1"/>
    <x v="4"/>
    <x v="1"/>
    <x v="2"/>
    <n v="3"/>
    <x v="78"/>
    <x v="1"/>
    <x v="2"/>
    <x v="0"/>
    <n v="4"/>
  </r>
  <r>
    <x v="79"/>
    <n v="15"/>
    <x v="1"/>
    <x v="1"/>
    <x v="3"/>
    <x v="3"/>
    <x v="1"/>
    <n v="6"/>
    <x v="79"/>
    <x v="1"/>
    <x v="2"/>
    <x v="1"/>
    <n v="3"/>
  </r>
  <r>
    <x v="80"/>
    <n v="72"/>
    <x v="2"/>
    <x v="1"/>
    <x v="4"/>
    <x v="0"/>
    <x v="0"/>
    <n v="14"/>
    <x v="80"/>
    <x v="1"/>
    <x v="0"/>
    <x v="2"/>
    <n v="3"/>
  </r>
  <r>
    <x v="81"/>
    <n v="78"/>
    <x v="2"/>
    <x v="1"/>
    <x v="3"/>
    <x v="0"/>
    <x v="1"/>
    <n v="18"/>
    <x v="81"/>
    <x v="0"/>
    <x v="2"/>
    <x v="0"/>
    <n v="3"/>
  </r>
  <r>
    <x v="82"/>
    <n v="87"/>
    <x v="2"/>
    <x v="0"/>
    <x v="4"/>
    <x v="4"/>
    <x v="1"/>
    <n v="17"/>
    <x v="82"/>
    <x v="0"/>
    <x v="0"/>
    <x v="1"/>
    <n v="1"/>
  </r>
  <r>
    <x v="83"/>
    <n v="62"/>
    <x v="2"/>
    <x v="0"/>
    <x v="4"/>
    <x v="3"/>
    <x v="0"/>
    <n v="4"/>
    <x v="83"/>
    <x v="1"/>
    <x v="2"/>
    <x v="0"/>
    <n v="4"/>
  </r>
  <r>
    <x v="84"/>
    <n v="40"/>
    <x v="3"/>
    <x v="0"/>
    <x v="4"/>
    <x v="4"/>
    <x v="0"/>
    <n v="15"/>
    <x v="84"/>
    <x v="1"/>
    <x v="1"/>
    <x v="2"/>
    <n v="2"/>
  </r>
  <r>
    <x v="85"/>
    <n v="85"/>
    <x v="2"/>
    <x v="1"/>
    <x v="4"/>
    <x v="2"/>
    <x v="1"/>
    <n v="11"/>
    <x v="85"/>
    <x v="0"/>
    <x v="2"/>
    <x v="3"/>
    <n v="3"/>
  </r>
  <r>
    <x v="86"/>
    <n v="80"/>
    <x v="2"/>
    <x v="1"/>
    <x v="5"/>
    <x v="3"/>
    <x v="1"/>
    <n v="3"/>
    <x v="86"/>
    <x v="0"/>
    <x v="0"/>
    <x v="0"/>
    <n v="3"/>
  </r>
  <r>
    <x v="87"/>
    <n v="82"/>
    <x v="2"/>
    <x v="1"/>
    <x v="0"/>
    <x v="2"/>
    <x v="1"/>
    <n v="3"/>
    <x v="87"/>
    <x v="0"/>
    <x v="0"/>
    <x v="1"/>
    <n v="1"/>
  </r>
  <r>
    <x v="88"/>
    <n v="53"/>
    <x v="0"/>
    <x v="0"/>
    <x v="2"/>
    <x v="4"/>
    <x v="1"/>
    <n v="16"/>
    <x v="88"/>
    <x v="1"/>
    <x v="1"/>
    <x v="2"/>
    <n v="2"/>
  </r>
  <r>
    <x v="89"/>
    <n v="24"/>
    <x v="3"/>
    <x v="1"/>
    <x v="1"/>
    <x v="3"/>
    <x v="0"/>
    <n v="5"/>
    <x v="89"/>
    <x v="0"/>
    <x v="0"/>
    <x v="3"/>
    <n v="4"/>
  </r>
  <r>
    <x v="90"/>
    <n v="26"/>
    <x v="3"/>
    <x v="0"/>
    <x v="2"/>
    <x v="4"/>
    <x v="0"/>
    <n v="10"/>
    <x v="90"/>
    <x v="1"/>
    <x v="2"/>
    <x v="1"/>
    <n v="5"/>
  </r>
  <r>
    <x v="91"/>
    <n v="89"/>
    <x v="2"/>
    <x v="0"/>
    <x v="2"/>
    <x v="3"/>
    <x v="1"/>
    <n v="19"/>
    <x v="91"/>
    <x v="0"/>
    <x v="2"/>
    <x v="1"/>
    <n v="1"/>
  </r>
  <r>
    <x v="92"/>
    <n v="60"/>
    <x v="0"/>
    <x v="0"/>
    <x v="3"/>
    <x v="4"/>
    <x v="2"/>
    <n v="4"/>
    <x v="92"/>
    <x v="0"/>
    <x v="1"/>
    <x v="1"/>
    <n v="4"/>
  </r>
  <r>
    <x v="93"/>
    <n v="41"/>
    <x v="0"/>
    <x v="0"/>
    <x v="0"/>
    <x v="0"/>
    <x v="2"/>
    <n v="19"/>
    <x v="93"/>
    <x v="1"/>
    <x v="0"/>
    <x v="0"/>
    <n v="5"/>
  </r>
  <r>
    <x v="94"/>
    <n v="29"/>
    <x v="3"/>
    <x v="0"/>
    <x v="3"/>
    <x v="4"/>
    <x v="0"/>
    <n v="11"/>
    <x v="94"/>
    <x v="1"/>
    <x v="1"/>
    <x v="2"/>
    <n v="3"/>
  </r>
  <r>
    <x v="95"/>
    <n v="15"/>
    <x v="1"/>
    <x v="0"/>
    <x v="0"/>
    <x v="0"/>
    <x v="1"/>
    <n v="2"/>
    <x v="95"/>
    <x v="1"/>
    <x v="2"/>
    <x v="1"/>
    <n v="3"/>
  </r>
  <r>
    <x v="96"/>
    <n v="45"/>
    <x v="0"/>
    <x v="1"/>
    <x v="0"/>
    <x v="4"/>
    <x v="1"/>
    <n v="10"/>
    <x v="96"/>
    <x v="0"/>
    <x v="1"/>
    <x v="0"/>
    <n v="2"/>
  </r>
  <r>
    <x v="97"/>
    <n v="65"/>
    <x v="2"/>
    <x v="1"/>
    <x v="4"/>
    <x v="3"/>
    <x v="0"/>
    <n v="11"/>
    <x v="97"/>
    <x v="0"/>
    <x v="0"/>
    <x v="2"/>
    <n v="5"/>
  </r>
  <r>
    <x v="98"/>
    <n v="89"/>
    <x v="2"/>
    <x v="0"/>
    <x v="5"/>
    <x v="3"/>
    <x v="2"/>
    <n v="16"/>
    <x v="98"/>
    <x v="0"/>
    <x v="1"/>
    <x v="2"/>
    <n v="3"/>
  </r>
  <r>
    <x v="99"/>
    <n v="71"/>
    <x v="2"/>
    <x v="0"/>
    <x v="4"/>
    <x v="3"/>
    <x v="2"/>
    <n v="19"/>
    <x v="99"/>
    <x v="1"/>
    <x v="0"/>
    <x v="0"/>
    <n v="3"/>
  </r>
  <r>
    <x v="100"/>
    <n v="9"/>
    <x v="1"/>
    <x v="1"/>
    <x v="5"/>
    <x v="1"/>
    <x v="2"/>
    <n v="11"/>
    <x v="100"/>
    <x v="0"/>
    <x v="0"/>
    <x v="0"/>
    <n v="2"/>
  </r>
  <r>
    <x v="101"/>
    <n v="88"/>
    <x v="2"/>
    <x v="0"/>
    <x v="3"/>
    <x v="2"/>
    <x v="0"/>
    <n v="14"/>
    <x v="101"/>
    <x v="1"/>
    <x v="2"/>
    <x v="1"/>
    <n v="4"/>
  </r>
  <r>
    <x v="102"/>
    <n v="1"/>
    <x v="1"/>
    <x v="0"/>
    <x v="5"/>
    <x v="3"/>
    <x v="2"/>
    <n v="2"/>
    <x v="102"/>
    <x v="1"/>
    <x v="2"/>
    <x v="2"/>
    <n v="3"/>
  </r>
  <r>
    <x v="103"/>
    <n v="8"/>
    <x v="1"/>
    <x v="1"/>
    <x v="3"/>
    <x v="0"/>
    <x v="0"/>
    <n v="5"/>
    <x v="103"/>
    <x v="1"/>
    <x v="2"/>
    <x v="3"/>
    <n v="1"/>
  </r>
  <r>
    <x v="104"/>
    <n v="88"/>
    <x v="2"/>
    <x v="0"/>
    <x v="2"/>
    <x v="3"/>
    <x v="0"/>
    <n v="5"/>
    <x v="104"/>
    <x v="0"/>
    <x v="0"/>
    <x v="0"/>
    <n v="1"/>
  </r>
  <r>
    <x v="105"/>
    <n v="63"/>
    <x v="2"/>
    <x v="0"/>
    <x v="2"/>
    <x v="1"/>
    <x v="1"/>
    <n v="19"/>
    <x v="105"/>
    <x v="0"/>
    <x v="1"/>
    <x v="2"/>
    <n v="4"/>
  </r>
  <r>
    <x v="106"/>
    <n v="11"/>
    <x v="1"/>
    <x v="0"/>
    <x v="5"/>
    <x v="0"/>
    <x v="2"/>
    <n v="12"/>
    <x v="106"/>
    <x v="1"/>
    <x v="0"/>
    <x v="2"/>
    <n v="5"/>
  </r>
  <r>
    <x v="107"/>
    <n v="81"/>
    <x v="2"/>
    <x v="1"/>
    <x v="5"/>
    <x v="1"/>
    <x v="0"/>
    <n v="18"/>
    <x v="107"/>
    <x v="0"/>
    <x v="2"/>
    <x v="1"/>
    <n v="2"/>
  </r>
  <r>
    <x v="108"/>
    <n v="8"/>
    <x v="1"/>
    <x v="1"/>
    <x v="3"/>
    <x v="0"/>
    <x v="2"/>
    <n v="4"/>
    <x v="108"/>
    <x v="1"/>
    <x v="2"/>
    <x v="3"/>
    <n v="1"/>
  </r>
  <r>
    <x v="109"/>
    <n v="35"/>
    <x v="3"/>
    <x v="1"/>
    <x v="4"/>
    <x v="4"/>
    <x v="2"/>
    <n v="17"/>
    <x v="109"/>
    <x v="1"/>
    <x v="1"/>
    <x v="1"/>
    <n v="1"/>
  </r>
  <r>
    <x v="110"/>
    <n v="35"/>
    <x v="3"/>
    <x v="0"/>
    <x v="3"/>
    <x v="2"/>
    <x v="1"/>
    <n v="10"/>
    <x v="110"/>
    <x v="0"/>
    <x v="2"/>
    <x v="3"/>
    <n v="4"/>
  </r>
  <r>
    <x v="111"/>
    <n v="33"/>
    <x v="3"/>
    <x v="0"/>
    <x v="4"/>
    <x v="2"/>
    <x v="2"/>
    <n v="6"/>
    <x v="111"/>
    <x v="1"/>
    <x v="2"/>
    <x v="3"/>
    <n v="5"/>
  </r>
  <r>
    <x v="112"/>
    <n v="5"/>
    <x v="1"/>
    <x v="1"/>
    <x v="2"/>
    <x v="1"/>
    <x v="1"/>
    <n v="14"/>
    <x v="112"/>
    <x v="1"/>
    <x v="2"/>
    <x v="0"/>
    <n v="5"/>
  </r>
  <r>
    <x v="113"/>
    <n v="41"/>
    <x v="0"/>
    <x v="0"/>
    <x v="0"/>
    <x v="2"/>
    <x v="0"/>
    <n v="11"/>
    <x v="113"/>
    <x v="0"/>
    <x v="1"/>
    <x v="2"/>
    <n v="4"/>
  </r>
  <r>
    <x v="114"/>
    <n v="28"/>
    <x v="3"/>
    <x v="0"/>
    <x v="5"/>
    <x v="1"/>
    <x v="2"/>
    <n v="11"/>
    <x v="114"/>
    <x v="1"/>
    <x v="0"/>
    <x v="2"/>
    <n v="1"/>
  </r>
  <r>
    <x v="115"/>
    <n v="7"/>
    <x v="1"/>
    <x v="0"/>
    <x v="4"/>
    <x v="1"/>
    <x v="0"/>
    <n v="18"/>
    <x v="115"/>
    <x v="1"/>
    <x v="2"/>
    <x v="2"/>
    <n v="2"/>
  </r>
  <r>
    <x v="116"/>
    <n v="73"/>
    <x v="2"/>
    <x v="0"/>
    <x v="3"/>
    <x v="1"/>
    <x v="2"/>
    <n v="18"/>
    <x v="116"/>
    <x v="1"/>
    <x v="1"/>
    <x v="3"/>
    <n v="1"/>
  </r>
  <r>
    <x v="117"/>
    <n v="72"/>
    <x v="2"/>
    <x v="0"/>
    <x v="2"/>
    <x v="2"/>
    <x v="0"/>
    <n v="11"/>
    <x v="117"/>
    <x v="1"/>
    <x v="2"/>
    <x v="2"/>
    <n v="5"/>
  </r>
  <r>
    <x v="118"/>
    <n v="12"/>
    <x v="1"/>
    <x v="1"/>
    <x v="4"/>
    <x v="1"/>
    <x v="2"/>
    <n v="12"/>
    <x v="118"/>
    <x v="1"/>
    <x v="1"/>
    <x v="0"/>
    <n v="1"/>
  </r>
  <r>
    <x v="119"/>
    <n v="34"/>
    <x v="3"/>
    <x v="0"/>
    <x v="3"/>
    <x v="2"/>
    <x v="2"/>
    <n v="5"/>
    <x v="119"/>
    <x v="1"/>
    <x v="2"/>
    <x v="3"/>
    <n v="2"/>
  </r>
  <r>
    <x v="120"/>
    <n v="33"/>
    <x v="3"/>
    <x v="1"/>
    <x v="5"/>
    <x v="1"/>
    <x v="2"/>
    <n v="9"/>
    <x v="120"/>
    <x v="1"/>
    <x v="1"/>
    <x v="3"/>
    <n v="3"/>
  </r>
  <r>
    <x v="121"/>
    <n v="48"/>
    <x v="0"/>
    <x v="0"/>
    <x v="5"/>
    <x v="3"/>
    <x v="2"/>
    <n v="9"/>
    <x v="121"/>
    <x v="0"/>
    <x v="2"/>
    <x v="3"/>
    <n v="1"/>
  </r>
  <r>
    <x v="122"/>
    <n v="23"/>
    <x v="3"/>
    <x v="1"/>
    <x v="1"/>
    <x v="1"/>
    <x v="2"/>
    <n v="10"/>
    <x v="122"/>
    <x v="0"/>
    <x v="0"/>
    <x v="3"/>
    <n v="4"/>
  </r>
  <r>
    <x v="123"/>
    <n v="62"/>
    <x v="2"/>
    <x v="0"/>
    <x v="0"/>
    <x v="0"/>
    <x v="2"/>
    <n v="19"/>
    <x v="123"/>
    <x v="1"/>
    <x v="2"/>
    <x v="0"/>
    <n v="3"/>
  </r>
  <r>
    <x v="124"/>
    <n v="88"/>
    <x v="2"/>
    <x v="1"/>
    <x v="1"/>
    <x v="1"/>
    <x v="2"/>
    <n v="1"/>
    <x v="124"/>
    <x v="1"/>
    <x v="1"/>
    <x v="2"/>
    <n v="4"/>
  </r>
  <r>
    <x v="125"/>
    <n v="37"/>
    <x v="3"/>
    <x v="0"/>
    <x v="2"/>
    <x v="4"/>
    <x v="2"/>
    <n v="7"/>
    <x v="125"/>
    <x v="0"/>
    <x v="2"/>
    <x v="0"/>
    <n v="4"/>
  </r>
  <r>
    <x v="126"/>
    <n v="44"/>
    <x v="0"/>
    <x v="1"/>
    <x v="4"/>
    <x v="1"/>
    <x v="2"/>
    <n v="4"/>
    <x v="126"/>
    <x v="0"/>
    <x v="0"/>
    <x v="2"/>
    <n v="4"/>
  </r>
  <r>
    <x v="127"/>
    <n v="86"/>
    <x v="2"/>
    <x v="0"/>
    <x v="2"/>
    <x v="0"/>
    <x v="0"/>
    <n v="1"/>
    <x v="127"/>
    <x v="0"/>
    <x v="2"/>
    <x v="0"/>
    <n v="1"/>
  </r>
  <r>
    <x v="128"/>
    <n v="35"/>
    <x v="3"/>
    <x v="1"/>
    <x v="3"/>
    <x v="0"/>
    <x v="1"/>
    <n v="15"/>
    <x v="128"/>
    <x v="0"/>
    <x v="1"/>
    <x v="1"/>
    <n v="5"/>
  </r>
  <r>
    <x v="129"/>
    <n v="65"/>
    <x v="2"/>
    <x v="0"/>
    <x v="5"/>
    <x v="2"/>
    <x v="2"/>
    <n v="8"/>
    <x v="129"/>
    <x v="0"/>
    <x v="1"/>
    <x v="1"/>
    <n v="3"/>
  </r>
  <r>
    <x v="130"/>
    <n v="47"/>
    <x v="0"/>
    <x v="1"/>
    <x v="1"/>
    <x v="3"/>
    <x v="1"/>
    <n v="12"/>
    <x v="130"/>
    <x v="1"/>
    <x v="0"/>
    <x v="1"/>
    <n v="2"/>
  </r>
  <r>
    <x v="131"/>
    <n v="78"/>
    <x v="2"/>
    <x v="1"/>
    <x v="1"/>
    <x v="1"/>
    <x v="2"/>
    <n v="18"/>
    <x v="131"/>
    <x v="0"/>
    <x v="1"/>
    <x v="1"/>
    <n v="5"/>
  </r>
  <r>
    <x v="132"/>
    <n v="3"/>
    <x v="1"/>
    <x v="0"/>
    <x v="1"/>
    <x v="2"/>
    <x v="2"/>
    <n v="15"/>
    <x v="132"/>
    <x v="0"/>
    <x v="2"/>
    <x v="3"/>
    <n v="1"/>
  </r>
  <r>
    <x v="133"/>
    <n v="1"/>
    <x v="1"/>
    <x v="0"/>
    <x v="2"/>
    <x v="3"/>
    <x v="0"/>
    <n v="17"/>
    <x v="133"/>
    <x v="0"/>
    <x v="2"/>
    <x v="3"/>
    <n v="4"/>
  </r>
  <r>
    <x v="134"/>
    <n v="5"/>
    <x v="1"/>
    <x v="1"/>
    <x v="5"/>
    <x v="1"/>
    <x v="0"/>
    <n v="14"/>
    <x v="134"/>
    <x v="1"/>
    <x v="2"/>
    <x v="0"/>
    <n v="2"/>
  </r>
  <r>
    <x v="135"/>
    <n v="14"/>
    <x v="1"/>
    <x v="0"/>
    <x v="4"/>
    <x v="4"/>
    <x v="1"/>
    <n v="14"/>
    <x v="135"/>
    <x v="1"/>
    <x v="1"/>
    <x v="0"/>
    <n v="3"/>
  </r>
  <r>
    <x v="136"/>
    <n v="27"/>
    <x v="3"/>
    <x v="1"/>
    <x v="3"/>
    <x v="1"/>
    <x v="0"/>
    <n v="18"/>
    <x v="136"/>
    <x v="1"/>
    <x v="2"/>
    <x v="1"/>
    <n v="5"/>
  </r>
  <r>
    <x v="137"/>
    <n v="9"/>
    <x v="1"/>
    <x v="1"/>
    <x v="4"/>
    <x v="0"/>
    <x v="0"/>
    <n v="18"/>
    <x v="137"/>
    <x v="1"/>
    <x v="2"/>
    <x v="2"/>
    <n v="5"/>
  </r>
  <r>
    <x v="138"/>
    <n v="79"/>
    <x v="2"/>
    <x v="1"/>
    <x v="2"/>
    <x v="0"/>
    <x v="1"/>
    <n v="16"/>
    <x v="138"/>
    <x v="1"/>
    <x v="2"/>
    <x v="1"/>
    <n v="2"/>
  </r>
  <r>
    <x v="139"/>
    <n v="15"/>
    <x v="1"/>
    <x v="0"/>
    <x v="3"/>
    <x v="4"/>
    <x v="0"/>
    <n v="1"/>
    <x v="139"/>
    <x v="1"/>
    <x v="0"/>
    <x v="0"/>
    <n v="1"/>
  </r>
  <r>
    <x v="140"/>
    <n v="42"/>
    <x v="0"/>
    <x v="1"/>
    <x v="1"/>
    <x v="2"/>
    <x v="2"/>
    <n v="11"/>
    <x v="140"/>
    <x v="0"/>
    <x v="1"/>
    <x v="1"/>
    <n v="3"/>
  </r>
  <r>
    <x v="141"/>
    <n v="77"/>
    <x v="2"/>
    <x v="1"/>
    <x v="0"/>
    <x v="3"/>
    <x v="1"/>
    <n v="15"/>
    <x v="141"/>
    <x v="1"/>
    <x v="1"/>
    <x v="0"/>
    <n v="2"/>
  </r>
  <r>
    <x v="142"/>
    <n v="51"/>
    <x v="0"/>
    <x v="0"/>
    <x v="2"/>
    <x v="1"/>
    <x v="1"/>
    <n v="12"/>
    <x v="142"/>
    <x v="1"/>
    <x v="1"/>
    <x v="1"/>
    <n v="4"/>
  </r>
  <r>
    <x v="143"/>
    <n v="63"/>
    <x v="2"/>
    <x v="0"/>
    <x v="2"/>
    <x v="0"/>
    <x v="2"/>
    <n v="8"/>
    <x v="143"/>
    <x v="0"/>
    <x v="0"/>
    <x v="2"/>
    <n v="3"/>
  </r>
  <r>
    <x v="144"/>
    <n v="52"/>
    <x v="0"/>
    <x v="0"/>
    <x v="5"/>
    <x v="2"/>
    <x v="0"/>
    <n v="6"/>
    <x v="144"/>
    <x v="1"/>
    <x v="1"/>
    <x v="1"/>
    <n v="5"/>
  </r>
  <r>
    <x v="145"/>
    <n v="4"/>
    <x v="1"/>
    <x v="0"/>
    <x v="4"/>
    <x v="4"/>
    <x v="1"/>
    <n v="3"/>
    <x v="145"/>
    <x v="0"/>
    <x v="0"/>
    <x v="2"/>
    <n v="2"/>
  </r>
  <r>
    <x v="146"/>
    <n v="23"/>
    <x v="3"/>
    <x v="1"/>
    <x v="2"/>
    <x v="0"/>
    <x v="1"/>
    <n v="13"/>
    <x v="146"/>
    <x v="0"/>
    <x v="0"/>
    <x v="2"/>
    <n v="5"/>
  </r>
  <r>
    <x v="147"/>
    <n v="15"/>
    <x v="1"/>
    <x v="1"/>
    <x v="2"/>
    <x v="4"/>
    <x v="2"/>
    <n v="13"/>
    <x v="147"/>
    <x v="1"/>
    <x v="1"/>
    <x v="0"/>
    <n v="5"/>
  </r>
  <r>
    <x v="148"/>
    <n v="43"/>
    <x v="0"/>
    <x v="1"/>
    <x v="1"/>
    <x v="1"/>
    <x v="2"/>
    <n v="2"/>
    <x v="148"/>
    <x v="0"/>
    <x v="2"/>
    <x v="2"/>
    <n v="5"/>
  </r>
  <r>
    <x v="149"/>
    <n v="29"/>
    <x v="3"/>
    <x v="1"/>
    <x v="1"/>
    <x v="3"/>
    <x v="0"/>
    <n v="5"/>
    <x v="149"/>
    <x v="0"/>
    <x v="2"/>
    <x v="3"/>
    <n v="1"/>
  </r>
  <r>
    <x v="150"/>
    <n v="36"/>
    <x v="3"/>
    <x v="0"/>
    <x v="3"/>
    <x v="0"/>
    <x v="1"/>
    <n v="17"/>
    <x v="150"/>
    <x v="0"/>
    <x v="1"/>
    <x v="3"/>
    <n v="5"/>
  </r>
  <r>
    <x v="151"/>
    <n v="13"/>
    <x v="1"/>
    <x v="1"/>
    <x v="0"/>
    <x v="0"/>
    <x v="0"/>
    <n v="6"/>
    <x v="151"/>
    <x v="0"/>
    <x v="1"/>
    <x v="3"/>
    <n v="4"/>
  </r>
  <r>
    <x v="152"/>
    <n v="32"/>
    <x v="3"/>
    <x v="1"/>
    <x v="5"/>
    <x v="1"/>
    <x v="0"/>
    <n v="2"/>
    <x v="152"/>
    <x v="1"/>
    <x v="0"/>
    <x v="0"/>
    <n v="4"/>
  </r>
  <r>
    <x v="153"/>
    <n v="71"/>
    <x v="2"/>
    <x v="0"/>
    <x v="0"/>
    <x v="2"/>
    <x v="2"/>
    <n v="4"/>
    <x v="153"/>
    <x v="0"/>
    <x v="1"/>
    <x v="3"/>
    <n v="3"/>
  </r>
  <r>
    <x v="154"/>
    <n v="59"/>
    <x v="0"/>
    <x v="1"/>
    <x v="3"/>
    <x v="3"/>
    <x v="1"/>
    <n v="11"/>
    <x v="154"/>
    <x v="1"/>
    <x v="0"/>
    <x v="0"/>
    <n v="5"/>
  </r>
  <r>
    <x v="155"/>
    <n v="86"/>
    <x v="2"/>
    <x v="1"/>
    <x v="1"/>
    <x v="0"/>
    <x v="1"/>
    <n v="8"/>
    <x v="155"/>
    <x v="0"/>
    <x v="1"/>
    <x v="0"/>
    <n v="5"/>
  </r>
  <r>
    <x v="156"/>
    <n v="28"/>
    <x v="3"/>
    <x v="1"/>
    <x v="4"/>
    <x v="3"/>
    <x v="1"/>
    <n v="12"/>
    <x v="156"/>
    <x v="0"/>
    <x v="2"/>
    <x v="3"/>
    <n v="2"/>
  </r>
  <r>
    <x v="157"/>
    <n v="66"/>
    <x v="2"/>
    <x v="1"/>
    <x v="1"/>
    <x v="0"/>
    <x v="2"/>
    <n v="8"/>
    <x v="157"/>
    <x v="0"/>
    <x v="2"/>
    <x v="2"/>
    <n v="1"/>
  </r>
  <r>
    <x v="158"/>
    <n v="42"/>
    <x v="0"/>
    <x v="1"/>
    <x v="5"/>
    <x v="3"/>
    <x v="2"/>
    <n v="11"/>
    <x v="158"/>
    <x v="1"/>
    <x v="1"/>
    <x v="1"/>
    <n v="3"/>
  </r>
  <r>
    <x v="159"/>
    <n v="45"/>
    <x v="0"/>
    <x v="1"/>
    <x v="1"/>
    <x v="4"/>
    <x v="2"/>
    <n v="8"/>
    <x v="159"/>
    <x v="1"/>
    <x v="0"/>
    <x v="0"/>
    <n v="5"/>
  </r>
  <r>
    <x v="160"/>
    <n v="62"/>
    <x v="2"/>
    <x v="0"/>
    <x v="5"/>
    <x v="0"/>
    <x v="2"/>
    <n v="8"/>
    <x v="160"/>
    <x v="1"/>
    <x v="2"/>
    <x v="3"/>
    <n v="2"/>
  </r>
  <r>
    <x v="161"/>
    <n v="57"/>
    <x v="0"/>
    <x v="0"/>
    <x v="5"/>
    <x v="3"/>
    <x v="2"/>
    <n v="17"/>
    <x v="161"/>
    <x v="0"/>
    <x v="0"/>
    <x v="0"/>
    <n v="1"/>
  </r>
  <r>
    <x v="162"/>
    <n v="6"/>
    <x v="1"/>
    <x v="1"/>
    <x v="5"/>
    <x v="2"/>
    <x v="1"/>
    <n v="16"/>
    <x v="162"/>
    <x v="0"/>
    <x v="1"/>
    <x v="2"/>
    <n v="3"/>
  </r>
  <r>
    <x v="163"/>
    <n v="28"/>
    <x v="3"/>
    <x v="1"/>
    <x v="3"/>
    <x v="4"/>
    <x v="0"/>
    <n v="14"/>
    <x v="163"/>
    <x v="0"/>
    <x v="1"/>
    <x v="2"/>
    <n v="3"/>
  </r>
  <r>
    <x v="164"/>
    <n v="28"/>
    <x v="3"/>
    <x v="0"/>
    <x v="5"/>
    <x v="4"/>
    <x v="1"/>
    <n v="11"/>
    <x v="164"/>
    <x v="0"/>
    <x v="2"/>
    <x v="3"/>
    <n v="5"/>
  </r>
  <r>
    <x v="165"/>
    <n v="44"/>
    <x v="0"/>
    <x v="1"/>
    <x v="5"/>
    <x v="2"/>
    <x v="0"/>
    <n v="7"/>
    <x v="165"/>
    <x v="1"/>
    <x v="1"/>
    <x v="0"/>
    <n v="3"/>
  </r>
  <r>
    <x v="166"/>
    <n v="84"/>
    <x v="2"/>
    <x v="1"/>
    <x v="4"/>
    <x v="3"/>
    <x v="2"/>
    <n v="16"/>
    <x v="166"/>
    <x v="0"/>
    <x v="2"/>
    <x v="1"/>
    <n v="2"/>
  </r>
  <r>
    <x v="167"/>
    <n v="30"/>
    <x v="3"/>
    <x v="1"/>
    <x v="0"/>
    <x v="1"/>
    <x v="0"/>
    <n v="13"/>
    <x v="167"/>
    <x v="1"/>
    <x v="0"/>
    <x v="1"/>
    <n v="3"/>
  </r>
  <r>
    <x v="168"/>
    <n v="62"/>
    <x v="2"/>
    <x v="0"/>
    <x v="2"/>
    <x v="2"/>
    <x v="1"/>
    <n v="15"/>
    <x v="168"/>
    <x v="0"/>
    <x v="2"/>
    <x v="0"/>
    <n v="4"/>
  </r>
  <r>
    <x v="169"/>
    <n v="75"/>
    <x v="2"/>
    <x v="1"/>
    <x v="0"/>
    <x v="3"/>
    <x v="1"/>
    <n v="16"/>
    <x v="169"/>
    <x v="1"/>
    <x v="2"/>
    <x v="0"/>
    <n v="2"/>
  </r>
  <r>
    <x v="170"/>
    <n v="89"/>
    <x v="2"/>
    <x v="0"/>
    <x v="5"/>
    <x v="2"/>
    <x v="0"/>
    <n v="9"/>
    <x v="170"/>
    <x v="1"/>
    <x v="0"/>
    <x v="0"/>
    <n v="1"/>
  </r>
  <r>
    <x v="171"/>
    <n v="62"/>
    <x v="2"/>
    <x v="1"/>
    <x v="4"/>
    <x v="2"/>
    <x v="2"/>
    <n v="3"/>
    <x v="171"/>
    <x v="0"/>
    <x v="2"/>
    <x v="3"/>
    <n v="1"/>
  </r>
  <r>
    <x v="172"/>
    <n v="1"/>
    <x v="1"/>
    <x v="0"/>
    <x v="1"/>
    <x v="0"/>
    <x v="2"/>
    <n v="19"/>
    <x v="172"/>
    <x v="0"/>
    <x v="2"/>
    <x v="2"/>
    <n v="5"/>
  </r>
  <r>
    <x v="173"/>
    <n v="27"/>
    <x v="3"/>
    <x v="0"/>
    <x v="4"/>
    <x v="3"/>
    <x v="1"/>
    <n v="5"/>
    <x v="173"/>
    <x v="1"/>
    <x v="1"/>
    <x v="1"/>
    <n v="5"/>
  </r>
  <r>
    <x v="174"/>
    <n v="62"/>
    <x v="2"/>
    <x v="1"/>
    <x v="5"/>
    <x v="1"/>
    <x v="0"/>
    <n v="10"/>
    <x v="174"/>
    <x v="0"/>
    <x v="0"/>
    <x v="3"/>
    <n v="4"/>
  </r>
  <r>
    <x v="175"/>
    <n v="77"/>
    <x v="2"/>
    <x v="0"/>
    <x v="4"/>
    <x v="0"/>
    <x v="2"/>
    <n v="17"/>
    <x v="175"/>
    <x v="0"/>
    <x v="2"/>
    <x v="0"/>
    <n v="1"/>
  </r>
  <r>
    <x v="176"/>
    <n v="3"/>
    <x v="1"/>
    <x v="1"/>
    <x v="4"/>
    <x v="2"/>
    <x v="2"/>
    <n v="15"/>
    <x v="176"/>
    <x v="1"/>
    <x v="0"/>
    <x v="0"/>
    <n v="1"/>
  </r>
  <r>
    <x v="177"/>
    <n v="70"/>
    <x v="2"/>
    <x v="0"/>
    <x v="5"/>
    <x v="2"/>
    <x v="1"/>
    <n v="8"/>
    <x v="177"/>
    <x v="1"/>
    <x v="0"/>
    <x v="2"/>
    <n v="1"/>
  </r>
  <r>
    <x v="178"/>
    <n v="72"/>
    <x v="2"/>
    <x v="1"/>
    <x v="3"/>
    <x v="2"/>
    <x v="2"/>
    <n v="15"/>
    <x v="178"/>
    <x v="1"/>
    <x v="2"/>
    <x v="0"/>
    <n v="1"/>
  </r>
  <r>
    <x v="179"/>
    <n v="27"/>
    <x v="3"/>
    <x v="1"/>
    <x v="4"/>
    <x v="3"/>
    <x v="0"/>
    <n v="14"/>
    <x v="179"/>
    <x v="1"/>
    <x v="1"/>
    <x v="3"/>
    <n v="3"/>
  </r>
  <r>
    <x v="180"/>
    <n v="9"/>
    <x v="1"/>
    <x v="0"/>
    <x v="2"/>
    <x v="3"/>
    <x v="1"/>
    <n v="7"/>
    <x v="180"/>
    <x v="0"/>
    <x v="0"/>
    <x v="3"/>
    <n v="2"/>
  </r>
  <r>
    <x v="181"/>
    <n v="62"/>
    <x v="2"/>
    <x v="1"/>
    <x v="2"/>
    <x v="0"/>
    <x v="1"/>
    <n v="12"/>
    <x v="181"/>
    <x v="1"/>
    <x v="2"/>
    <x v="2"/>
    <n v="2"/>
  </r>
  <r>
    <x v="182"/>
    <n v="37"/>
    <x v="3"/>
    <x v="1"/>
    <x v="4"/>
    <x v="1"/>
    <x v="0"/>
    <n v="17"/>
    <x v="182"/>
    <x v="1"/>
    <x v="0"/>
    <x v="3"/>
    <n v="4"/>
  </r>
  <r>
    <x v="183"/>
    <n v="51"/>
    <x v="0"/>
    <x v="0"/>
    <x v="3"/>
    <x v="0"/>
    <x v="1"/>
    <n v="17"/>
    <x v="183"/>
    <x v="1"/>
    <x v="1"/>
    <x v="1"/>
    <n v="3"/>
  </r>
  <r>
    <x v="184"/>
    <n v="44"/>
    <x v="0"/>
    <x v="1"/>
    <x v="1"/>
    <x v="4"/>
    <x v="2"/>
    <n v="10"/>
    <x v="184"/>
    <x v="0"/>
    <x v="1"/>
    <x v="3"/>
    <n v="1"/>
  </r>
  <r>
    <x v="185"/>
    <n v="24"/>
    <x v="3"/>
    <x v="1"/>
    <x v="5"/>
    <x v="2"/>
    <x v="2"/>
    <n v="19"/>
    <x v="185"/>
    <x v="1"/>
    <x v="1"/>
    <x v="3"/>
    <n v="1"/>
  </r>
  <r>
    <x v="186"/>
    <n v="79"/>
    <x v="2"/>
    <x v="0"/>
    <x v="2"/>
    <x v="2"/>
    <x v="0"/>
    <n v="14"/>
    <x v="186"/>
    <x v="0"/>
    <x v="2"/>
    <x v="3"/>
    <n v="5"/>
  </r>
  <r>
    <x v="187"/>
    <n v="59"/>
    <x v="0"/>
    <x v="0"/>
    <x v="1"/>
    <x v="2"/>
    <x v="2"/>
    <n v="11"/>
    <x v="187"/>
    <x v="1"/>
    <x v="2"/>
    <x v="1"/>
    <n v="5"/>
  </r>
  <r>
    <x v="188"/>
    <n v="32"/>
    <x v="3"/>
    <x v="1"/>
    <x v="4"/>
    <x v="0"/>
    <x v="0"/>
    <n v="2"/>
    <x v="188"/>
    <x v="1"/>
    <x v="1"/>
    <x v="0"/>
    <n v="4"/>
  </r>
  <r>
    <x v="189"/>
    <n v="88"/>
    <x v="2"/>
    <x v="1"/>
    <x v="1"/>
    <x v="0"/>
    <x v="0"/>
    <n v="18"/>
    <x v="189"/>
    <x v="0"/>
    <x v="2"/>
    <x v="3"/>
    <n v="1"/>
  </r>
  <r>
    <x v="190"/>
    <n v="52"/>
    <x v="0"/>
    <x v="0"/>
    <x v="0"/>
    <x v="2"/>
    <x v="2"/>
    <n v="7"/>
    <x v="190"/>
    <x v="1"/>
    <x v="1"/>
    <x v="2"/>
    <n v="4"/>
  </r>
  <r>
    <x v="191"/>
    <n v="62"/>
    <x v="2"/>
    <x v="0"/>
    <x v="2"/>
    <x v="0"/>
    <x v="0"/>
    <n v="12"/>
    <x v="191"/>
    <x v="1"/>
    <x v="2"/>
    <x v="1"/>
    <n v="3"/>
  </r>
  <r>
    <x v="192"/>
    <n v="58"/>
    <x v="0"/>
    <x v="1"/>
    <x v="4"/>
    <x v="3"/>
    <x v="2"/>
    <n v="2"/>
    <x v="192"/>
    <x v="0"/>
    <x v="1"/>
    <x v="2"/>
    <n v="2"/>
  </r>
  <r>
    <x v="193"/>
    <n v="52"/>
    <x v="0"/>
    <x v="0"/>
    <x v="5"/>
    <x v="3"/>
    <x v="1"/>
    <n v="18"/>
    <x v="193"/>
    <x v="1"/>
    <x v="0"/>
    <x v="3"/>
    <n v="1"/>
  </r>
  <r>
    <x v="194"/>
    <n v="12"/>
    <x v="1"/>
    <x v="1"/>
    <x v="3"/>
    <x v="0"/>
    <x v="1"/>
    <n v="6"/>
    <x v="194"/>
    <x v="1"/>
    <x v="1"/>
    <x v="2"/>
    <n v="3"/>
  </r>
  <r>
    <x v="195"/>
    <n v="39"/>
    <x v="3"/>
    <x v="1"/>
    <x v="4"/>
    <x v="2"/>
    <x v="0"/>
    <n v="10"/>
    <x v="195"/>
    <x v="1"/>
    <x v="1"/>
    <x v="3"/>
    <n v="1"/>
  </r>
  <r>
    <x v="196"/>
    <n v="2"/>
    <x v="1"/>
    <x v="1"/>
    <x v="5"/>
    <x v="0"/>
    <x v="2"/>
    <n v="15"/>
    <x v="196"/>
    <x v="1"/>
    <x v="2"/>
    <x v="1"/>
    <n v="5"/>
  </r>
  <r>
    <x v="197"/>
    <n v="3"/>
    <x v="1"/>
    <x v="1"/>
    <x v="3"/>
    <x v="0"/>
    <x v="2"/>
    <n v="5"/>
    <x v="197"/>
    <x v="0"/>
    <x v="2"/>
    <x v="2"/>
    <n v="4"/>
  </r>
  <r>
    <x v="198"/>
    <n v="56"/>
    <x v="0"/>
    <x v="1"/>
    <x v="3"/>
    <x v="0"/>
    <x v="1"/>
    <n v="3"/>
    <x v="198"/>
    <x v="1"/>
    <x v="2"/>
    <x v="2"/>
    <n v="5"/>
  </r>
  <r>
    <x v="199"/>
    <n v="81"/>
    <x v="2"/>
    <x v="0"/>
    <x v="4"/>
    <x v="4"/>
    <x v="1"/>
    <n v="5"/>
    <x v="199"/>
    <x v="0"/>
    <x v="2"/>
    <x v="3"/>
    <n v="2"/>
  </r>
  <r>
    <x v="200"/>
    <n v="59"/>
    <x v="0"/>
    <x v="0"/>
    <x v="1"/>
    <x v="3"/>
    <x v="2"/>
    <n v="8"/>
    <x v="200"/>
    <x v="1"/>
    <x v="2"/>
    <x v="3"/>
    <n v="5"/>
  </r>
  <r>
    <x v="201"/>
    <n v="2"/>
    <x v="1"/>
    <x v="0"/>
    <x v="1"/>
    <x v="1"/>
    <x v="0"/>
    <n v="8"/>
    <x v="201"/>
    <x v="0"/>
    <x v="2"/>
    <x v="0"/>
    <n v="1"/>
  </r>
  <r>
    <x v="202"/>
    <n v="2"/>
    <x v="1"/>
    <x v="0"/>
    <x v="3"/>
    <x v="1"/>
    <x v="1"/>
    <n v="8"/>
    <x v="202"/>
    <x v="1"/>
    <x v="0"/>
    <x v="3"/>
    <n v="5"/>
  </r>
  <r>
    <x v="203"/>
    <n v="54"/>
    <x v="0"/>
    <x v="1"/>
    <x v="1"/>
    <x v="4"/>
    <x v="0"/>
    <n v="12"/>
    <x v="203"/>
    <x v="0"/>
    <x v="1"/>
    <x v="3"/>
    <n v="1"/>
  </r>
  <r>
    <x v="204"/>
    <n v="87"/>
    <x v="2"/>
    <x v="1"/>
    <x v="0"/>
    <x v="0"/>
    <x v="0"/>
    <n v="8"/>
    <x v="204"/>
    <x v="1"/>
    <x v="1"/>
    <x v="0"/>
    <n v="2"/>
  </r>
  <r>
    <x v="205"/>
    <n v="1"/>
    <x v="1"/>
    <x v="1"/>
    <x v="3"/>
    <x v="4"/>
    <x v="1"/>
    <n v="11"/>
    <x v="205"/>
    <x v="0"/>
    <x v="1"/>
    <x v="3"/>
    <n v="5"/>
  </r>
  <r>
    <x v="206"/>
    <n v="19"/>
    <x v="3"/>
    <x v="1"/>
    <x v="3"/>
    <x v="4"/>
    <x v="0"/>
    <n v="14"/>
    <x v="206"/>
    <x v="0"/>
    <x v="0"/>
    <x v="3"/>
    <n v="4"/>
  </r>
  <r>
    <x v="207"/>
    <n v="2"/>
    <x v="1"/>
    <x v="0"/>
    <x v="5"/>
    <x v="2"/>
    <x v="0"/>
    <n v="8"/>
    <x v="207"/>
    <x v="1"/>
    <x v="1"/>
    <x v="0"/>
    <n v="4"/>
  </r>
  <r>
    <x v="208"/>
    <n v="53"/>
    <x v="0"/>
    <x v="1"/>
    <x v="1"/>
    <x v="3"/>
    <x v="2"/>
    <n v="10"/>
    <x v="208"/>
    <x v="0"/>
    <x v="0"/>
    <x v="1"/>
    <n v="4"/>
  </r>
  <r>
    <x v="209"/>
    <n v="44"/>
    <x v="0"/>
    <x v="1"/>
    <x v="3"/>
    <x v="1"/>
    <x v="0"/>
    <n v="7"/>
    <x v="209"/>
    <x v="1"/>
    <x v="0"/>
    <x v="1"/>
    <n v="5"/>
  </r>
  <r>
    <x v="210"/>
    <n v="32"/>
    <x v="3"/>
    <x v="0"/>
    <x v="0"/>
    <x v="0"/>
    <x v="2"/>
    <n v="17"/>
    <x v="210"/>
    <x v="1"/>
    <x v="0"/>
    <x v="3"/>
    <n v="5"/>
  </r>
  <r>
    <x v="211"/>
    <n v="70"/>
    <x v="2"/>
    <x v="0"/>
    <x v="5"/>
    <x v="1"/>
    <x v="1"/>
    <n v="4"/>
    <x v="211"/>
    <x v="1"/>
    <x v="1"/>
    <x v="3"/>
    <n v="5"/>
  </r>
  <r>
    <x v="212"/>
    <n v="32"/>
    <x v="3"/>
    <x v="0"/>
    <x v="4"/>
    <x v="1"/>
    <x v="1"/>
    <n v="13"/>
    <x v="212"/>
    <x v="1"/>
    <x v="0"/>
    <x v="0"/>
    <n v="1"/>
  </r>
  <r>
    <x v="213"/>
    <n v="68"/>
    <x v="2"/>
    <x v="0"/>
    <x v="3"/>
    <x v="3"/>
    <x v="2"/>
    <n v="4"/>
    <x v="213"/>
    <x v="1"/>
    <x v="1"/>
    <x v="0"/>
    <n v="2"/>
  </r>
  <r>
    <x v="214"/>
    <n v="55"/>
    <x v="0"/>
    <x v="1"/>
    <x v="0"/>
    <x v="1"/>
    <x v="1"/>
    <n v="5"/>
    <x v="214"/>
    <x v="0"/>
    <x v="1"/>
    <x v="1"/>
    <n v="4"/>
  </r>
  <r>
    <x v="215"/>
    <n v="75"/>
    <x v="2"/>
    <x v="1"/>
    <x v="2"/>
    <x v="1"/>
    <x v="0"/>
    <n v="4"/>
    <x v="215"/>
    <x v="1"/>
    <x v="2"/>
    <x v="2"/>
    <n v="1"/>
  </r>
  <r>
    <x v="216"/>
    <n v="56"/>
    <x v="0"/>
    <x v="0"/>
    <x v="0"/>
    <x v="4"/>
    <x v="0"/>
    <n v="18"/>
    <x v="216"/>
    <x v="1"/>
    <x v="2"/>
    <x v="3"/>
    <n v="4"/>
  </r>
  <r>
    <x v="217"/>
    <n v="17"/>
    <x v="1"/>
    <x v="1"/>
    <x v="0"/>
    <x v="3"/>
    <x v="0"/>
    <n v="6"/>
    <x v="217"/>
    <x v="1"/>
    <x v="0"/>
    <x v="2"/>
    <n v="1"/>
  </r>
  <r>
    <x v="218"/>
    <n v="38"/>
    <x v="3"/>
    <x v="1"/>
    <x v="5"/>
    <x v="2"/>
    <x v="1"/>
    <n v="2"/>
    <x v="218"/>
    <x v="1"/>
    <x v="0"/>
    <x v="2"/>
    <n v="5"/>
  </r>
  <r>
    <x v="219"/>
    <n v="24"/>
    <x v="3"/>
    <x v="1"/>
    <x v="4"/>
    <x v="0"/>
    <x v="0"/>
    <n v="11"/>
    <x v="219"/>
    <x v="1"/>
    <x v="1"/>
    <x v="0"/>
    <n v="4"/>
  </r>
  <r>
    <x v="220"/>
    <n v="69"/>
    <x v="2"/>
    <x v="0"/>
    <x v="2"/>
    <x v="1"/>
    <x v="1"/>
    <n v="14"/>
    <x v="220"/>
    <x v="1"/>
    <x v="0"/>
    <x v="3"/>
    <n v="5"/>
  </r>
  <r>
    <x v="221"/>
    <n v="70"/>
    <x v="2"/>
    <x v="1"/>
    <x v="1"/>
    <x v="0"/>
    <x v="0"/>
    <n v="5"/>
    <x v="221"/>
    <x v="0"/>
    <x v="0"/>
    <x v="3"/>
    <n v="4"/>
  </r>
  <r>
    <x v="222"/>
    <n v="86"/>
    <x v="2"/>
    <x v="0"/>
    <x v="1"/>
    <x v="2"/>
    <x v="2"/>
    <n v="6"/>
    <x v="222"/>
    <x v="0"/>
    <x v="1"/>
    <x v="0"/>
    <n v="3"/>
  </r>
  <r>
    <x v="223"/>
    <n v="11"/>
    <x v="1"/>
    <x v="1"/>
    <x v="0"/>
    <x v="0"/>
    <x v="1"/>
    <n v="10"/>
    <x v="223"/>
    <x v="1"/>
    <x v="0"/>
    <x v="2"/>
    <n v="1"/>
  </r>
  <r>
    <x v="224"/>
    <n v="16"/>
    <x v="1"/>
    <x v="1"/>
    <x v="5"/>
    <x v="2"/>
    <x v="1"/>
    <n v="8"/>
    <x v="224"/>
    <x v="0"/>
    <x v="0"/>
    <x v="0"/>
    <n v="3"/>
  </r>
  <r>
    <x v="225"/>
    <n v="73"/>
    <x v="2"/>
    <x v="1"/>
    <x v="5"/>
    <x v="4"/>
    <x v="0"/>
    <n v="14"/>
    <x v="225"/>
    <x v="1"/>
    <x v="1"/>
    <x v="1"/>
    <n v="1"/>
  </r>
  <r>
    <x v="226"/>
    <n v="59"/>
    <x v="0"/>
    <x v="0"/>
    <x v="1"/>
    <x v="1"/>
    <x v="1"/>
    <n v="3"/>
    <x v="226"/>
    <x v="1"/>
    <x v="1"/>
    <x v="3"/>
    <n v="2"/>
  </r>
  <r>
    <x v="227"/>
    <n v="70"/>
    <x v="2"/>
    <x v="1"/>
    <x v="2"/>
    <x v="2"/>
    <x v="1"/>
    <n v="12"/>
    <x v="227"/>
    <x v="1"/>
    <x v="2"/>
    <x v="1"/>
    <n v="4"/>
  </r>
  <r>
    <x v="228"/>
    <n v="80"/>
    <x v="2"/>
    <x v="0"/>
    <x v="4"/>
    <x v="0"/>
    <x v="2"/>
    <n v="16"/>
    <x v="228"/>
    <x v="1"/>
    <x v="1"/>
    <x v="0"/>
    <n v="2"/>
  </r>
  <r>
    <x v="229"/>
    <n v="3"/>
    <x v="1"/>
    <x v="0"/>
    <x v="2"/>
    <x v="1"/>
    <x v="2"/>
    <n v="17"/>
    <x v="229"/>
    <x v="1"/>
    <x v="2"/>
    <x v="3"/>
    <n v="2"/>
  </r>
  <r>
    <x v="230"/>
    <n v="20"/>
    <x v="3"/>
    <x v="0"/>
    <x v="3"/>
    <x v="4"/>
    <x v="0"/>
    <n v="1"/>
    <x v="230"/>
    <x v="0"/>
    <x v="0"/>
    <x v="1"/>
    <n v="1"/>
  </r>
  <r>
    <x v="231"/>
    <n v="59"/>
    <x v="0"/>
    <x v="1"/>
    <x v="3"/>
    <x v="1"/>
    <x v="2"/>
    <n v="10"/>
    <x v="231"/>
    <x v="0"/>
    <x v="1"/>
    <x v="1"/>
    <n v="3"/>
  </r>
  <r>
    <x v="232"/>
    <n v="36"/>
    <x v="3"/>
    <x v="1"/>
    <x v="4"/>
    <x v="2"/>
    <x v="0"/>
    <n v="10"/>
    <x v="232"/>
    <x v="0"/>
    <x v="1"/>
    <x v="2"/>
    <n v="5"/>
  </r>
  <r>
    <x v="233"/>
    <n v="19"/>
    <x v="3"/>
    <x v="1"/>
    <x v="1"/>
    <x v="4"/>
    <x v="0"/>
    <n v="2"/>
    <x v="233"/>
    <x v="0"/>
    <x v="1"/>
    <x v="3"/>
    <n v="1"/>
  </r>
  <r>
    <x v="234"/>
    <n v="67"/>
    <x v="2"/>
    <x v="1"/>
    <x v="4"/>
    <x v="0"/>
    <x v="0"/>
    <n v="9"/>
    <x v="234"/>
    <x v="1"/>
    <x v="0"/>
    <x v="1"/>
    <n v="5"/>
  </r>
  <r>
    <x v="235"/>
    <n v="19"/>
    <x v="3"/>
    <x v="0"/>
    <x v="5"/>
    <x v="4"/>
    <x v="1"/>
    <n v="13"/>
    <x v="235"/>
    <x v="0"/>
    <x v="2"/>
    <x v="1"/>
    <n v="2"/>
  </r>
  <r>
    <x v="236"/>
    <n v="20"/>
    <x v="3"/>
    <x v="0"/>
    <x v="3"/>
    <x v="4"/>
    <x v="2"/>
    <n v="16"/>
    <x v="236"/>
    <x v="1"/>
    <x v="0"/>
    <x v="2"/>
    <n v="5"/>
  </r>
  <r>
    <x v="237"/>
    <n v="71"/>
    <x v="2"/>
    <x v="0"/>
    <x v="0"/>
    <x v="3"/>
    <x v="0"/>
    <n v="18"/>
    <x v="237"/>
    <x v="0"/>
    <x v="0"/>
    <x v="1"/>
    <n v="3"/>
  </r>
  <r>
    <x v="238"/>
    <n v="52"/>
    <x v="0"/>
    <x v="1"/>
    <x v="0"/>
    <x v="4"/>
    <x v="2"/>
    <n v="19"/>
    <x v="238"/>
    <x v="0"/>
    <x v="1"/>
    <x v="1"/>
    <n v="1"/>
  </r>
  <r>
    <x v="239"/>
    <n v="33"/>
    <x v="3"/>
    <x v="0"/>
    <x v="1"/>
    <x v="4"/>
    <x v="0"/>
    <n v="12"/>
    <x v="239"/>
    <x v="0"/>
    <x v="2"/>
    <x v="1"/>
    <n v="3"/>
  </r>
  <r>
    <x v="240"/>
    <n v="40"/>
    <x v="3"/>
    <x v="1"/>
    <x v="5"/>
    <x v="1"/>
    <x v="2"/>
    <n v="8"/>
    <x v="240"/>
    <x v="0"/>
    <x v="0"/>
    <x v="2"/>
    <n v="3"/>
  </r>
  <r>
    <x v="241"/>
    <n v="39"/>
    <x v="3"/>
    <x v="0"/>
    <x v="2"/>
    <x v="0"/>
    <x v="2"/>
    <n v="17"/>
    <x v="241"/>
    <x v="1"/>
    <x v="1"/>
    <x v="1"/>
    <n v="1"/>
  </r>
  <r>
    <x v="242"/>
    <n v="82"/>
    <x v="2"/>
    <x v="1"/>
    <x v="5"/>
    <x v="1"/>
    <x v="0"/>
    <n v="15"/>
    <x v="242"/>
    <x v="0"/>
    <x v="0"/>
    <x v="1"/>
    <n v="3"/>
  </r>
  <r>
    <x v="243"/>
    <n v="1"/>
    <x v="1"/>
    <x v="1"/>
    <x v="0"/>
    <x v="1"/>
    <x v="1"/>
    <n v="10"/>
    <x v="243"/>
    <x v="0"/>
    <x v="0"/>
    <x v="3"/>
    <n v="4"/>
  </r>
  <r>
    <x v="244"/>
    <n v="11"/>
    <x v="1"/>
    <x v="0"/>
    <x v="0"/>
    <x v="2"/>
    <x v="2"/>
    <n v="15"/>
    <x v="244"/>
    <x v="1"/>
    <x v="1"/>
    <x v="3"/>
    <n v="4"/>
  </r>
  <r>
    <x v="245"/>
    <n v="57"/>
    <x v="0"/>
    <x v="0"/>
    <x v="3"/>
    <x v="1"/>
    <x v="1"/>
    <n v="15"/>
    <x v="245"/>
    <x v="1"/>
    <x v="1"/>
    <x v="2"/>
    <n v="4"/>
  </r>
  <r>
    <x v="246"/>
    <n v="89"/>
    <x v="2"/>
    <x v="0"/>
    <x v="5"/>
    <x v="3"/>
    <x v="1"/>
    <n v="7"/>
    <x v="246"/>
    <x v="0"/>
    <x v="2"/>
    <x v="0"/>
    <n v="5"/>
  </r>
  <r>
    <x v="247"/>
    <n v="50"/>
    <x v="0"/>
    <x v="0"/>
    <x v="5"/>
    <x v="3"/>
    <x v="0"/>
    <n v="13"/>
    <x v="247"/>
    <x v="1"/>
    <x v="0"/>
    <x v="3"/>
    <n v="3"/>
  </r>
  <r>
    <x v="248"/>
    <n v="23"/>
    <x v="3"/>
    <x v="1"/>
    <x v="0"/>
    <x v="2"/>
    <x v="0"/>
    <n v="17"/>
    <x v="248"/>
    <x v="1"/>
    <x v="1"/>
    <x v="2"/>
    <n v="1"/>
  </r>
  <r>
    <x v="249"/>
    <n v="31"/>
    <x v="3"/>
    <x v="0"/>
    <x v="2"/>
    <x v="0"/>
    <x v="0"/>
    <n v="9"/>
    <x v="249"/>
    <x v="1"/>
    <x v="1"/>
    <x v="1"/>
    <n v="1"/>
  </r>
  <r>
    <x v="250"/>
    <n v="42"/>
    <x v="0"/>
    <x v="0"/>
    <x v="1"/>
    <x v="0"/>
    <x v="2"/>
    <n v="8"/>
    <x v="250"/>
    <x v="0"/>
    <x v="2"/>
    <x v="1"/>
    <n v="5"/>
  </r>
  <r>
    <x v="251"/>
    <n v="7"/>
    <x v="1"/>
    <x v="0"/>
    <x v="1"/>
    <x v="1"/>
    <x v="0"/>
    <n v="18"/>
    <x v="251"/>
    <x v="1"/>
    <x v="2"/>
    <x v="2"/>
    <n v="1"/>
  </r>
  <r>
    <x v="252"/>
    <n v="16"/>
    <x v="1"/>
    <x v="1"/>
    <x v="5"/>
    <x v="1"/>
    <x v="0"/>
    <n v="13"/>
    <x v="252"/>
    <x v="0"/>
    <x v="1"/>
    <x v="1"/>
    <n v="4"/>
  </r>
  <r>
    <x v="253"/>
    <n v="60"/>
    <x v="0"/>
    <x v="1"/>
    <x v="1"/>
    <x v="1"/>
    <x v="2"/>
    <n v="16"/>
    <x v="253"/>
    <x v="0"/>
    <x v="2"/>
    <x v="1"/>
    <n v="3"/>
  </r>
  <r>
    <x v="254"/>
    <n v="2"/>
    <x v="1"/>
    <x v="0"/>
    <x v="0"/>
    <x v="0"/>
    <x v="2"/>
    <n v="9"/>
    <x v="254"/>
    <x v="0"/>
    <x v="1"/>
    <x v="0"/>
    <n v="1"/>
  </r>
  <r>
    <x v="255"/>
    <n v="1"/>
    <x v="1"/>
    <x v="1"/>
    <x v="0"/>
    <x v="4"/>
    <x v="0"/>
    <n v="12"/>
    <x v="255"/>
    <x v="0"/>
    <x v="0"/>
    <x v="1"/>
    <n v="1"/>
  </r>
  <r>
    <x v="256"/>
    <n v="48"/>
    <x v="0"/>
    <x v="0"/>
    <x v="5"/>
    <x v="3"/>
    <x v="0"/>
    <n v="12"/>
    <x v="256"/>
    <x v="1"/>
    <x v="2"/>
    <x v="3"/>
    <n v="2"/>
  </r>
  <r>
    <x v="257"/>
    <n v="12"/>
    <x v="1"/>
    <x v="1"/>
    <x v="5"/>
    <x v="4"/>
    <x v="0"/>
    <n v="6"/>
    <x v="257"/>
    <x v="0"/>
    <x v="0"/>
    <x v="1"/>
    <n v="2"/>
  </r>
  <r>
    <x v="258"/>
    <n v="69"/>
    <x v="2"/>
    <x v="1"/>
    <x v="3"/>
    <x v="4"/>
    <x v="0"/>
    <n v="19"/>
    <x v="258"/>
    <x v="1"/>
    <x v="0"/>
    <x v="2"/>
    <n v="2"/>
  </r>
  <r>
    <x v="259"/>
    <n v="37"/>
    <x v="3"/>
    <x v="1"/>
    <x v="5"/>
    <x v="0"/>
    <x v="1"/>
    <n v="7"/>
    <x v="259"/>
    <x v="0"/>
    <x v="0"/>
    <x v="0"/>
    <n v="3"/>
  </r>
  <r>
    <x v="260"/>
    <n v="32"/>
    <x v="3"/>
    <x v="1"/>
    <x v="2"/>
    <x v="4"/>
    <x v="1"/>
    <n v="3"/>
    <x v="260"/>
    <x v="1"/>
    <x v="1"/>
    <x v="1"/>
    <n v="4"/>
  </r>
  <r>
    <x v="261"/>
    <n v="9"/>
    <x v="1"/>
    <x v="0"/>
    <x v="1"/>
    <x v="2"/>
    <x v="0"/>
    <n v="16"/>
    <x v="261"/>
    <x v="0"/>
    <x v="0"/>
    <x v="2"/>
    <n v="4"/>
  </r>
  <r>
    <x v="262"/>
    <n v="19"/>
    <x v="3"/>
    <x v="0"/>
    <x v="5"/>
    <x v="1"/>
    <x v="1"/>
    <n v="18"/>
    <x v="262"/>
    <x v="1"/>
    <x v="0"/>
    <x v="3"/>
    <n v="4"/>
  </r>
  <r>
    <x v="263"/>
    <n v="48"/>
    <x v="0"/>
    <x v="0"/>
    <x v="4"/>
    <x v="2"/>
    <x v="2"/>
    <n v="16"/>
    <x v="263"/>
    <x v="0"/>
    <x v="0"/>
    <x v="1"/>
    <n v="3"/>
  </r>
  <r>
    <x v="264"/>
    <n v="80"/>
    <x v="2"/>
    <x v="1"/>
    <x v="3"/>
    <x v="3"/>
    <x v="1"/>
    <n v="7"/>
    <x v="264"/>
    <x v="0"/>
    <x v="1"/>
    <x v="0"/>
    <n v="3"/>
  </r>
  <r>
    <x v="265"/>
    <n v="3"/>
    <x v="1"/>
    <x v="0"/>
    <x v="4"/>
    <x v="1"/>
    <x v="1"/>
    <n v="4"/>
    <x v="265"/>
    <x v="1"/>
    <x v="0"/>
    <x v="1"/>
    <n v="2"/>
  </r>
  <r>
    <x v="266"/>
    <n v="20"/>
    <x v="3"/>
    <x v="0"/>
    <x v="0"/>
    <x v="4"/>
    <x v="0"/>
    <n v="8"/>
    <x v="266"/>
    <x v="0"/>
    <x v="0"/>
    <x v="2"/>
    <n v="1"/>
  </r>
  <r>
    <x v="267"/>
    <n v="24"/>
    <x v="3"/>
    <x v="0"/>
    <x v="1"/>
    <x v="3"/>
    <x v="1"/>
    <n v="13"/>
    <x v="267"/>
    <x v="0"/>
    <x v="2"/>
    <x v="0"/>
    <n v="5"/>
  </r>
  <r>
    <x v="268"/>
    <n v="54"/>
    <x v="0"/>
    <x v="1"/>
    <x v="5"/>
    <x v="1"/>
    <x v="1"/>
    <n v="13"/>
    <x v="268"/>
    <x v="0"/>
    <x v="1"/>
    <x v="1"/>
    <n v="5"/>
  </r>
  <r>
    <x v="269"/>
    <n v="33"/>
    <x v="3"/>
    <x v="1"/>
    <x v="4"/>
    <x v="4"/>
    <x v="1"/>
    <n v="17"/>
    <x v="269"/>
    <x v="1"/>
    <x v="0"/>
    <x v="3"/>
    <n v="1"/>
  </r>
  <r>
    <x v="270"/>
    <n v="24"/>
    <x v="3"/>
    <x v="1"/>
    <x v="1"/>
    <x v="2"/>
    <x v="1"/>
    <n v="17"/>
    <x v="270"/>
    <x v="0"/>
    <x v="2"/>
    <x v="0"/>
    <n v="2"/>
  </r>
  <r>
    <x v="271"/>
    <n v="75"/>
    <x v="2"/>
    <x v="0"/>
    <x v="0"/>
    <x v="1"/>
    <x v="2"/>
    <n v="5"/>
    <x v="271"/>
    <x v="0"/>
    <x v="1"/>
    <x v="3"/>
    <n v="1"/>
  </r>
  <r>
    <x v="272"/>
    <n v="72"/>
    <x v="2"/>
    <x v="0"/>
    <x v="2"/>
    <x v="4"/>
    <x v="0"/>
    <n v="6"/>
    <x v="272"/>
    <x v="1"/>
    <x v="1"/>
    <x v="2"/>
    <n v="1"/>
  </r>
  <r>
    <x v="273"/>
    <n v="36"/>
    <x v="3"/>
    <x v="0"/>
    <x v="3"/>
    <x v="2"/>
    <x v="0"/>
    <n v="19"/>
    <x v="273"/>
    <x v="1"/>
    <x v="1"/>
    <x v="1"/>
    <n v="5"/>
  </r>
  <r>
    <x v="274"/>
    <n v="38"/>
    <x v="3"/>
    <x v="1"/>
    <x v="1"/>
    <x v="3"/>
    <x v="2"/>
    <n v="13"/>
    <x v="274"/>
    <x v="1"/>
    <x v="1"/>
    <x v="3"/>
    <n v="2"/>
  </r>
  <r>
    <x v="275"/>
    <n v="84"/>
    <x v="2"/>
    <x v="1"/>
    <x v="1"/>
    <x v="3"/>
    <x v="1"/>
    <n v="14"/>
    <x v="275"/>
    <x v="1"/>
    <x v="1"/>
    <x v="2"/>
    <n v="3"/>
  </r>
  <r>
    <x v="276"/>
    <n v="89"/>
    <x v="2"/>
    <x v="0"/>
    <x v="2"/>
    <x v="3"/>
    <x v="2"/>
    <n v="4"/>
    <x v="276"/>
    <x v="1"/>
    <x v="1"/>
    <x v="1"/>
    <n v="5"/>
  </r>
  <r>
    <x v="277"/>
    <n v="25"/>
    <x v="3"/>
    <x v="1"/>
    <x v="1"/>
    <x v="3"/>
    <x v="1"/>
    <n v="7"/>
    <x v="277"/>
    <x v="0"/>
    <x v="0"/>
    <x v="2"/>
    <n v="3"/>
  </r>
  <r>
    <x v="278"/>
    <n v="18"/>
    <x v="1"/>
    <x v="1"/>
    <x v="0"/>
    <x v="0"/>
    <x v="2"/>
    <n v="8"/>
    <x v="278"/>
    <x v="0"/>
    <x v="0"/>
    <x v="3"/>
    <n v="2"/>
  </r>
  <r>
    <x v="279"/>
    <n v="82"/>
    <x v="2"/>
    <x v="1"/>
    <x v="0"/>
    <x v="1"/>
    <x v="0"/>
    <n v="13"/>
    <x v="279"/>
    <x v="0"/>
    <x v="0"/>
    <x v="2"/>
    <n v="1"/>
  </r>
  <r>
    <x v="280"/>
    <n v="66"/>
    <x v="2"/>
    <x v="1"/>
    <x v="2"/>
    <x v="1"/>
    <x v="0"/>
    <n v="6"/>
    <x v="280"/>
    <x v="1"/>
    <x v="0"/>
    <x v="0"/>
    <n v="4"/>
  </r>
  <r>
    <x v="281"/>
    <n v="54"/>
    <x v="0"/>
    <x v="0"/>
    <x v="3"/>
    <x v="0"/>
    <x v="0"/>
    <n v="6"/>
    <x v="281"/>
    <x v="0"/>
    <x v="2"/>
    <x v="1"/>
    <n v="4"/>
  </r>
  <r>
    <x v="282"/>
    <n v="35"/>
    <x v="3"/>
    <x v="1"/>
    <x v="5"/>
    <x v="4"/>
    <x v="1"/>
    <n v="3"/>
    <x v="282"/>
    <x v="1"/>
    <x v="0"/>
    <x v="2"/>
    <n v="2"/>
  </r>
  <r>
    <x v="283"/>
    <n v="80"/>
    <x v="2"/>
    <x v="1"/>
    <x v="4"/>
    <x v="4"/>
    <x v="1"/>
    <n v="3"/>
    <x v="283"/>
    <x v="1"/>
    <x v="1"/>
    <x v="3"/>
    <n v="4"/>
  </r>
  <r>
    <x v="284"/>
    <n v="61"/>
    <x v="2"/>
    <x v="1"/>
    <x v="5"/>
    <x v="3"/>
    <x v="2"/>
    <n v="13"/>
    <x v="284"/>
    <x v="0"/>
    <x v="0"/>
    <x v="1"/>
    <n v="3"/>
  </r>
  <r>
    <x v="285"/>
    <n v="41"/>
    <x v="0"/>
    <x v="1"/>
    <x v="1"/>
    <x v="2"/>
    <x v="2"/>
    <n v="2"/>
    <x v="285"/>
    <x v="1"/>
    <x v="0"/>
    <x v="0"/>
    <n v="4"/>
  </r>
  <r>
    <x v="286"/>
    <n v="33"/>
    <x v="3"/>
    <x v="0"/>
    <x v="4"/>
    <x v="4"/>
    <x v="0"/>
    <n v="16"/>
    <x v="286"/>
    <x v="1"/>
    <x v="1"/>
    <x v="1"/>
    <n v="2"/>
  </r>
  <r>
    <x v="287"/>
    <n v="68"/>
    <x v="2"/>
    <x v="0"/>
    <x v="2"/>
    <x v="2"/>
    <x v="1"/>
    <n v="6"/>
    <x v="287"/>
    <x v="0"/>
    <x v="0"/>
    <x v="0"/>
    <n v="2"/>
  </r>
  <r>
    <x v="288"/>
    <n v="33"/>
    <x v="3"/>
    <x v="1"/>
    <x v="2"/>
    <x v="1"/>
    <x v="2"/>
    <n v="8"/>
    <x v="288"/>
    <x v="1"/>
    <x v="0"/>
    <x v="1"/>
    <n v="3"/>
  </r>
  <r>
    <x v="289"/>
    <n v="14"/>
    <x v="1"/>
    <x v="1"/>
    <x v="3"/>
    <x v="2"/>
    <x v="1"/>
    <n v="8"/>
    <x v="289"/>
    <x v="1"/>
    <x v="0"/>
    <x v="2"/>
    <n v="4"/>
  </r>
  <r>
    <x v="290"/>
    <n v="21"/>
    <x v="3"/>
    <x v="1"/>
    <x v="4"/>
    <x v="1"/>
    <x v="1"/>
    <n v="6"/>
    <x v="290"/>
    <x v="0"/>
    <x v="2"/>
    <x v="2"/>
    <n v="4"/>
  </r>
  <r>
    <x v="291"/>
    <n v="48"/>
    <x v="0"/>
    <x v="1"/>
    <x v="0"/>
    <x v="0"/>
    <x v="0"/>
    <n v="14"/>
    <x v="291"/>
    <x v="1"/>
    <x v="0"/>
    <x v="3"/>
    <n v="1"/>
  </r>
  <r>
    <x v="292"/>
    <n v="20"/>
    <x v="3"/>
    <x v="1"/>
    <x v="4"/>
    <x v="0"/>
    <x v="0"/>
    <n v="3"/>
    <x v="292"/>
    <x v="1"/>
    <x v="1"/>
    <x v="0"/>
    <n v="5"/>
  </r>
  <r>
    <x v="293"/>
    <n v="8"/>
    <x v="1"/>
    <x v="1"/>
    <x v="1"/>
    <x v="3"/>
    <x v="1"/>
    <n v="10"/>
    <x v="293"/>
    <x v="0"/>
    <x v="1"/>
    <x v="3"/>
    <n v="2"/>
  </r>
  <r>
    <x v="294"/>
    <n v="7"/>
    <x v="1"/>
    <x v="0"/>
    <x v="0"/>
    <x v="4"/>
    <x v="1"/>
    <n v="3"/>
    <x v="294"/>
    <x v="0"/>
    <x v="0"/>
    <x v="2"/>
    <n v="1"/>
  </r>
  <r>
    <x v="295"/>
    <n v="67"/>
    <x v="2"/>
    <x v="1"/>
    <x v="2"/>
    <x v="3"/>
    <x v="1"/>
    <n v="12"/>
    <x v="295"/>
    <x v="0"/>
    <x v="0"/>
    <x v="0"/>
    <n v="2"/>
  </r>
  <r>
    <x v="296"/>
    <n v="17"/>
    <x v="1"/>
    <x v="0"/>
    <x v="4"/>
    <x v="1"/>
    <x v="1"/>
    <n v="17"/>
    <x v="296"/>
    <x v="0"/>
    <x v="0"/>
    <x v="3"/>
    <n v="1"/>
  </r>
  <r>
    <x v="297"/>
    <n v="33"/>
    <x v="3"/>
    <x v="0"/>
    <x v="5"/>
    <x v="3"/>
    <x v="0"/>
    <n v="5"/>
    <x v="297"/>
    <x v="1"/>
    <x v="1"/>
    <x v="3"/>
    <n v="5"/>
  </r>
  <r>
    <x v="298"/>
    <n v="48"/>
    <x v="0"/>
    <x v="1"/>
    <x v="3"/>
    <x v="2"/>
    <x v="2"/>
    <n v="9"/>
    <x v="298"/>
    <x v="1"/>
    <x v="1"/>
    <x v="3"/>
    <n v="1"/>
  </r>
  <r>
    <x v="299"/>
    <n v="76"/>
    <x v="2"/>
    <x v="0"/>
    <x v="5"/>
    <x v="1"/>
    <x v="0"/>
    <n v="7"/>
    <x v="299"/>
    <x v="0"/>
    <x v="2"/>
    <x v="3"/>
    <n v="2"/>
  </r>
  <r>
    <x v="300"/>
    <n v="59"/>
    <x v="0"/>
    <x v="0"/>
    <x v="3"/>
    <x v="0"/>
    <x v="2"/>
    <n v="4"/>
    <x v="300"/>
    <x v="1"/>
    <x v="2"/>
    <x v="3"/>
    <n v="4"/>
  </r>
  <r>
    <x v="301"/>
    <n v="86"/>
    <x v="2"/>
    <x v="0"/>
    <x v="1"/>
    <x v="4"/>
    <x v="1"/>
    <n v="13"/>
    <x v="301"/>
    <x v="1"/>
    <x v="2"/>
    <x v="0"/>
    <n v="2"/>
  </r>
  <r>
    <x v="302"/>
    <n v="22"/>
    <x v="3"/>
    <x v="0"/>
    <x v="5"/>
    <x v="1"/>
    <x v="2"/>
    <n v="13"/>
    <x v="302"/>
    <x v="0"/>
    <x v="1"/>
    <x v="3"/>
    <n v="3"/>
  </r>
  <r>
    <x v="303"/>
    <n v="30"/>
    <x v="3"/>
    <x v="0"/>
    <x v="4"/>
    <x v="1"/>
    <x v="0"/>
    <n v="10"/>
    <x v="303"/>
    <x v="0"/>
    <x v="2"/>
    <x v="0"/>
    <n v="3"/>
  </r>
  <r>
    <x v="304"/>
    <n v="38"/>
    <x v="3"/>
    <x v="0"/>
    <x v="4"/>
    <x v="2"/>
    <x v="0"/>
    <n v="18"/>
    <x v="304"/>
    <x v="1"/>
    <x v="0"/>
    <x v="3"/>
    <n v="3"/>
  </r>
  <r>
    <x v="305"/>
    <n v="51"/>
    <x v="0"/>
    <x v="1"/>
    <x v="5"/>
    <x v="4"/>
    <x v="1"/>
    <n v="17"/>
    <x v="305"/>
    <x v="0"/>
    <x v="0"/>
    <x v="2"/>
    <n v="3"/>
  </r>
  <r>
    <x v="306"/>
    <n v="54"/>
    <x v="0"/>
    <x v="0"/>
    <x v="4"/>
    <x v="0"/>
    <x v="0"/>
    <n v="13"/>
    <x v="306"/>
    <x v="0"/>
    <x v="1"/>
    <x v="2"/>
    <n v="5"/>
  </r>
  <r>
    <x v="307"/>
    <n v="8"/>
    <x v="1"/>
    <x v="0"/>
    <x v="1"/>
    <x v="1"/>
    <x v="1"/>
    <n v="17"/>
    <x v="307"/>
    <x v="0"/>
    <x v="2"/>
    <x v="3"/>
    <n v="4"/>
  </r>
  <r>
    <x v="308"/>
    <n v="27"/>
    <x v="3"/>
    <x v="0"/>
    <x v="0"/>
    <x v="1"/>
    <x v="0"/>
    <n v="4"/>
    <x v="308"/>
    <x v="1"/>
    <x v="0"/>
    <x v="1"/>
    <n v="4"/>
  </r>
  <r>
    <x v="309"/>
    <n v="27"/>
    <x v="3"/>
    <x v="1"/>
    <x v="1"/>
    <x v="2"/>
    <x v="0"/>
    <n v="1"/>
    <x v="309"/>
    <x v="0"/>
    <x v="1"/>
    <x v="2"/>
    <n v="2"/>
  </r>
  <r>
    <x v="310"/>
    <n v="21"/>
    <x v="3"/>
    <x v="0"/>
    <x v="3"/>
    <x v="3"/>
    <x v="1"/>
    <n v="1"/>
    <x v="310"/>
    <x v="1"/>
    <x v="2"/>
    <x v="0"/>
    <n v="1"/>
  </r>
  <r>
    <x v="311"/>
    <n v="30"/>
    <x v="3"/>
    <x v="1"/>
    <x v="1"/>
    <x v="0"/>
    <x v="2"/>
    <n v="15"/>
    <x v="311"/>
    <x v="1"/>
    <x v="0"/>
    <x v="3"/>
    <n v="2"/>
  </r>
  <r>
    <x v="312"/>
    <n v="28"/>
    <x v="3"/>
    <x v="0"/>
    <x v="3"/>
    <x v="4"/>
    <x v="0"/>
    <n v="13"/>
    <x v="312"/>
    <x v="1"/>
    <x v="2"/>
    <x v="0"/>
    <n v="2"/>
  </r>
  <r>
    <x v="313"/>
    <n v="64"/>
    <x v="2"/>
    <x v="1"/>
    <x v="4"/>
    <x v="1"/>
    <x v="2"/>
    <n v="17"/>
    <x v="313"/>
    <x v="0"/>
    <x v="1"/>
    <x v="1"/>
    <n v="2"/>
  </r>
  <r>
    <x v="314"/>
    <n v="69"/>
    <x v="2"/>
    <x v="1"/>
    <x v="0"/>
    <x v="1"/>
    <x v="0"/>
    <n v="8"/>
    <x v="314"/>
    <x v="0"/>
    <x v="2"/>
    <x v="3"/>
    <n v="2"/>
  </r>
  <r>
    <x v="315"/>
    <n v="61"/>
    <x v="2"/>
    <x v="0"/>
    <x v="4"/>
    <x v="0"/>
    <x v="0"/>
    <n v="18"/>
    <x v="315"/>
    <x v="0"/>
    <x v="1"/>
    <x v="2"/>
    <n v="4"/>
  </r>
  <r>
    <x v="316"/>
    <n v="48"/>
    <x v="0"/>
    <x v="0"/>
    <x v="2"/>
    <x v="3"/>
    <x v="0"/>
    <n v="13"/>
    <x v="316"/>
    <x v="0"/>
    <x v="2"/>
    <x v="0"/>
    <n v="1"/>
  </r>
  <r>
    <x v="317"/>
    <n v="19"/>
    <x v="3"/>
    <x v="1"/>
    <x v="4"/>
    <x v="1"/>
    <x v="0"/>
    <n v="14"/>
    <x v="317"/>
    <x v="0"/>
    <x v="0"/>
    <x v="2"/>
    <n v="2"/>
  </r>
  <r>
    <x v="318"/>
    <n v="4"/>
    <x v="1"/>
    <x v="0"/>
    <x v="3"/>
    <x v="0"/>
    <x v="2"/>
    <n v="8"/>
    <x v="318"/>
    <x v="1"/>
    <x v="1"/>
    <x v="2"/>
    <n v="4"/>
  </r>
  <r>
    <x v="319"/>
    <n v="35"/>
    <x v="3"/>
    <x v="1"/>
    <x v="4"/>
    <x v="2"/>
    <x v="2"/>
    <n v="8"/>
    <x v="319"/>
    <x v="1"/>
    <x v="1"/>
    <x v="3"/>
    <n v="2"/>
  </r>
  <r>
    <x v="320"/>
    <n v="64"/>
    <x v="2"/>
    <x v="1"/>
    <x v="4"/>
    <x v="3"/>
    <x v="0"/>
    <n v="15"/>
    <x v="320"/>
    <x v="1"/>
    <x v="1"/>
    <x v="0"/>
    <n v="3"/>
  </r>
  <r>
    <x v="321"/>
    <n v="49"/>
    <x v="0"/>
    <x v="1"/>
    <x v="0"/>
    <x v="4"/>
    <x v="0"/>
    <n v="13"/>
    <x v="321"/>
    <x v="0"/>
    <x v="2"/>
    <x v="1"/>
    <n v="2"/>
  </r>
  <r>
    <x v="322"/>
    <n v="17"/>
    <x v="1"/>
    <x v="1"/>
    <x v="4"/>
    <x v="1"/>
    <x v="2"/>
    <n v="7"/>
    <x v="322"/>
    <x v="1"/>
    <x v="2"/>
    <x v="2"/>
    <n v="2"/>
  </r>
  <r>
    <x v="323"/>
    <n v="44"/>
    <x v="0"/>
    <x v="1"/>
    <x v="0"/>
    <x v="0"/>
    <x v="1"/>
    <n v="5"/>
    <x v="323"/>
    <x v="1"/>
    <x v="0"/>
    <x v="3"/>
    <n v="5"/>
  </r>
  <r>
    <x v="324"/>
    <n v="30"/>
    <x v="3"/>
    <x v="0"/>
    <x v="5"/>
    <x v="2"/>
    <x v="1"/>
    <n v="17"/>
    <x v="324"/>
    <x v="0"/>
    <x v="1"/>
    <x v="3"/>
    <n v="3"/>
  </r>
  <r>
    <x v="325"/>
    <n v="46"/>
    <x v="0"/>
    <x v="1"/>
    <x v="2"/>
    <x v="4"/>
    <x v="2"/>
    <n v="16"/>
    <x v="325"/>
    <x v="0"/>
    <x v="1"/>
    <x v="1"/>
    <n v="1"/>
  </r>
  <r>
    <x v="326"/>
    <n v="6"/>
    <x v="1"/>
    <x v="1"/>
    <x v="0"/>
    <x v="0"/>
    <x v="0"/>
    <n v="2"/>
    <x v="326"/>
    <x v="1"/>
    <x v="2"/>
    <x v="3"/>
    <n v="2"/>
  </r>
  <r>
    <x v="327"/>
    <n v="37"/>
    <x v="3"/>
    <x v="0"/>
    <x v="3"/>
    <x v="0"/>
    <x v="0"/>
    <n v="18"/>
    <x v="327"/>
    <x v="1"/>
    <x v="2"/>
    <x v="2"/>
    <n v="1"/>
  </r>
  <r>
    <x v="328"/>
    <n v="24"/>
    <x v="3"/>
    <x v="1"/>
    <x v="5"/>
    <x v="4"/>
    <x v="1"/>
    <n v="17"/>
    <x v="328"/>
    <x v="0"/>
    <x v="0"/>
    <x v="3"/>
    <n v="3"/>
  </r>
  <r>
    <x v="329"/>
    <n v="46"/>
    <x v="0"/>
    <x v="0"/>
    <x v="0"/>
    <x v="2"/>
    <x v="1"/>
    <n v="7"/>
    <x v="329"/>
    <x v="0"/>
    <x v="0"/>
    <x v="0"/>
    <n v="2"/>
  </r>
  <r>
    <x v="330"/>
    <n v="53"/>
    <x v="0"/>
    <x v="0"/>
    <x v="0"/>
    <x v="2"/>
    <x v="2"/>
    <n v="13"/>
    <x v="330"/>
    <x v="0"/>
    <x v="2"/>
    <x v="0"/>
    <n v="5"/>
  </r>
  <r>
    <x v="331"/>
    <n v="60"/>
    <x v="0"/>
    <x v="0"/>
    <x v="2"/>
    <x v="3"/>
    <x v="1"/>
    <n v="18"/>
    <x v="331"/>
    <x v="0"/>
    <x v="1"/>
    <x v="2"/>
    <n v="4"/>
  </r>
  <r>
    <x v="332"/>
    <n v="63"/>
    <x v="2"/>
    <x v="1"/>
    <x v="3"/>
    <x v="1"/>
    <x v="2"/>
    <n v="14"/>
    <x v="332"/>
    <x v="1"/>
    <x v="0"/>
    <x v="0"/>
    <n v="5"/>
  </r>
  <r>
    <x v="333"/>
    <n v="85"/>
    <x v="2"/>
    <x v="1"/>
    <x v="1"/>
    <x v="4"/>
    <x v="1"/>
    <n v="18"/>
    <x v="333"/>
    <x v="1"/>
    <x v="2"/>
    <x v="1"/>
    <n v="5"/>
  </r>
  <r>
    <x v="334"/>
    <n v="32"/>
    <x v="3"/>
    <x v="1"/>
    <x v="1"/>
    <x v="4"/>
    <x v="1"/>
    <n v="13"/>
    <x v="334"/>
    <x v="0"/>
    <x v="2"/>
    <x v="3"/>
    <n v="4"/>
  </r>
  <r>
    <x v="335"/>
    <n v="87"/>
    <x v="2"/>
    <x v="0"/>
    <x v="0"/>
    <x v="4"/>
    <x v="1"/>
    <n v="11"/>
    <x v="335"/>
    <x v="1"/>
    <x v="1"/>
    <x v="2"/>
    <n v="4"/>
  </r>
  <r>
    <x v="336"/>
    <n v="33"/>
    <x v="3"/>
    <x v="1"/>
    <x v="4"/>
    <x v="2"/>
    <x v="0"/>
    <n v="16"/>
    <x v="336"/>
    <x v="1"/>
    <x v="2"/>
    <x v="1"/>
    <n v="4"/>
  </r>
  <r>
    <x v="337"/>
    <n v="67"/>
    <x v="2"/>
    <x v="0"/>
    <x v="3"/>
    <x v="1"/>
    <x v="0"/>
    <n v="17"/>
    <x v="337"/>
    <x v="0"/>
    <x v="2"/>
    <x v="3"/>
    <n v="2"/>
  </r>
  <r>
    <x v="338"/>
    <n v="18"/>
    <x v="1"/>
    <x v="1"/>
    <x v="5"/>
    <x v="3"/>
    <x v="0"/>
    <n v="8"/>
    <x v="338"/>
    <x v="1"/>
    <x v="0"/>
    <x v="1"/>
    <n v="1"/>
  </r>
  <r>
    <x v="339"/>
    <n v="25"/>
    <x v="3"/>
    <x v="0"/>
    <x v="4"/>
    <x v="0"/>
    <x v="1"/>
    <n v="19"/>
    <x v="339"/>
    <x v="1"/>
    <x v="2"/>
    <x v="2"/>
    <n v="1"/>
  </r>
  <r>
    <x v="340"/>
    <n v="54"/>
    <x v="0"/>
    <x v="1"/>
    <x v="4"/>
    <x v="0"/>
    <x v="2"/>
    <n v="15"/>
    <x v="340"/>
    <x v="1"/>
    <x v="2"/>
    <x v="2"/>
    <n v="4"/>
  </r>
  <r>
    <x v="341"/>
    <n v="58"/>
    <x v="0"/>
    <x v="1"/>
    <x v="3"/>
    <x v="4"/>
    <x v="2"/>
    <n v="9"/>
    <x v="341"/>
    <x v="0"/>
    <x v="0"/>
    <x v="1"/>
    <n v="5"/>
  </r>
  <r>
    <x v="342"/>
    <n v="67"/>
    <x v="2"/>
    <x v="1"/>
    <x v="0"/>
    <x v="1"/>
    <x v="2"/>
    <n v="10"/>
    <x v="342"/>
    <x v="0"/>
    <x v="1"/>
    <x v="3"/>
    <n v="3"/>
  </r>
  <r>
    <x v="343"/>
    <n v="46"/>
    <x v="0"/>
    <x v="0"/>
    <x v="0"/>
    <x v="2"/>
    <x v="2"/>
    <n v="12"/>
    <x v="343"/>
    <x v="1"/>
    <x v="1"/>
    <x v="0"/>
    <n v="4"/>
  </r>
  <r>
    <x v="344"/>
    <n v="24"/>
    <x v="3"/>
    <x v="0"/>
    <x v="0"/>
    <x v="1"/>
    <x v="0"/>
    <n v="1"/>
    <x v="344"/>
    <x v="0"/>
    <x v="0"/>
    <x v="0"/>
    <n v="5"/>
  </r>
  <r>
    <x v="345"/>
    <n v="32"/>
    <x v="3"/>
    <x v="1"/>
    <x v="0"/>
    <x v="1"/>
    <x v="0"/>
    <n v="9"/>
    <x v="345"/>
    <x v="0"/>
    <x v="0"/>
    <x v="1"/>
    <n v="5"/>
  </r>
  <r>
    <x v="346"/>
    <n v="47"/>
    <x v="0"/>
    <x v="1"/>
    <x v="1"/>
    <x v="2"/>
    <x v="1"/>
    <n v="15"/>
    <x v="346"/>
    <x v="0"/>
    <x v="1"/>
    <x v="2"/>
    <n v="2"/>
  </r>
  <r>
    <x v="347"/>
    <n v="86"/>
    <x v="2"/>
    <x v="0"/>
    <x v="0"/>
    <x v="4"/>
    <x v="1"/>
    <n v="1"/>
    <x v="347"/>
    <x v="1"/>
    <x v="1"/>
    <x v="3"/>
    <n v="2"/>
  </r>
  <r>
    <x v="348"/>
    <n v="23"/>
    <x v="3"/>
    <x v="0"/>
    <x v="1"/>
    <x v="1"/>
    <x v="2"/>
    <n v="12"/>
    <x v="348"/>
    <x v="1"/>
    <x v="1"/>
    <x v="3"/>
    <n v="1"/>
  </r>
  <r>
    <x v="349"/>
    <n v="66"/>
    <x v="2"/>
    <x v="0"/>
    <x v="1"/>
    <x v="0"/>
    <x v="0"/>
    <n v="3"/>
    <x v="349"/>
    <x v="0"/>
    <x v="1"/>
    <x v="2"/>
    <n v="1"/>
  </r>
  <r>
    <x v="350"/>
    <n v="27"/>
    <x v="3"/>
    <x v="1"/>
    <x v="0"/>
    <x v="2"/>
    <x v="2"/>
    <n v="11"/>
    <x v="350"/>
    <x v="1"/>
    <x v="1"/>
    <x v="0"/>
    <n v="3"/>
  </r>
  <r>
    <x v="351"/>
    <n v="2"/>
    <x v="1"/>
    <x v="0"/>
    <x v="2"/>
    <x v="3"/>
    <x v="1"/>
    <n v="2"/>
    <x v="351"/>
    <x v="1"/>
    <x v="0"/>
    <x v="3"/>
    <n v="3"/>
  </r>
  <r>
    <x v="352"/>
    <n v="17"/>
    <x v="1"/>
    <x v="1"/>
    <x v="5"/>
    <x v="4"/>
    <x v="1"/>
    <n v="16"/>
    <x v="352"/>
    <x v="1"/>
    <x v="2"/>
    <x v="1"/>
    <n v="3"/>
  </r>
  <r>
    <x v="353"/>
    <n v="33"/>
    <x v="3"/>
    <x v="0"/>
    <x v="4"/>
    <x v="2"/>
    <x v="2"/>
    <n v="9"/>
    <x v="353"/>
    <x v="1"/>
    <x v="1"/>
    <x v="0"/>
    <n v="3"/>
  </r>
  <r>
    <x v="354"/>
    <n v="9"/>
    <x v="1"/>
    <x v="1"/>
    <x v="1"/>
    <x v="3"/>
    <x v="1"/>
    <n v="15"/>
    <x v="354"/>
    <x v="1"/>
    <x v="1"/>
    <x v="1"/>
    <n v="5"/>
  </r>
  <r>
    <x v="355"/>
    <n v="43"/>
    <x v="0"/>
    <x v="0"/>
    <x v="3"/>
    <x v="3"/>
    <x v="2"/>
    <n v="12"/>
    <x v="355"/>
    <x v="0"/>
    <x v="2"/>
    <x v="0"/>
    <n v="5"/>
  </r>
  <r>
    <x v="356"/>
    <n v="48"/>
    <x v="0"/>
    <x v="0"/>
    <x v="3"/>
    <x v="1"/>
    <x v="0"/>
    <n v="1"/>
    <x v="356"/>
    <x v="1"/>
    <x v="2"/>
    <x v="2"/>
    <n v="1"/>
  </r>
  <r>
    <x v="357"/>
    <n v="39"/>
    <x v="3"/>
    <x v="0"/>
    <x v="5"/>
    <x v="1"/>
    <x v="2"/>
    <n v="13"/>
    <x v="357"/>
    <x v="1"/>
    <x v="2"/>
    <x v="1"/>
    <n v="2"/>
  </r>
  <r>
    <x v="358"/>
    <n v="42"/>
    <x v="0"/>
    <x v="0"/>
    <x v="3"/>
    <x v="1"/>
    <x v="0"/>
    <n v="14"/>
    <x v="358"/>
    <x v="1"/>
    <x v="2"/>
    <x v="1"/>
    <n v="2"/>
  </r>
  <r>
    <x v="359"/>
    <n v="26"/>
    <x v="3"/>
    <x v="0"/>
    <x v="2"/>
    <x v="2"/>
    <x v="0"/>
    <n v="8"/>
    <x v="359"/>
    <x v="0"/>
    <x v="2"/>
    <x v="2"/>
    <n v="4"/>
  </r>
  <r>
    <x v="360"/>
    <n v="50"/>
    <x v="0"/>
    <x v="1"/>
    <x v="3"/>
    <x v="2"/>
    <x v="1"/>
    <n v="8"/>
    <x v="360"/>
    <x v="0"/>
    <x v="2"/>
    <x v="1"/>
    <n v="5"/>
  </r>
  <r>
    <x v="361"/>
    <n v="25"/>
    <x v="3"/>
    <x v="0"/>
    <x v="4"/>
    <x v="4"/>
    <x v="1"/>
    <n v="12"/>
    <x v="361"/>
    <x v="0"/>
    <x v="0"/>
    <x v="0"/>
    <n v="3"/>
  </r>
  <r>
    <x v="362"/>
    <n v="24"/>
    <x v="3"/>
    <x v="0"/>
    <x v="4"/>
    <x v="1"/>
    <x v="1"/>
    <n v="1"/>
    <x v="362"/>
    <x v="1"/>
    <x v="2"/>
    <x v="3"/>
    <n v="3"/>
  </r>
  <r>
    <x v="363"/>
    <n v="13"/>
    <x v="1"/>
    <x v="0"/>
    <x v="1"/>
    <x v="3"/>
    <x v="2"/>
    <n v="11"/>
    <x v="363"/>
    <x v="0"/>
    <x v="2"/>
    <x v="3"/>
    <n v="4"/>
  </r>
  <r>
    <x v="364"/>
    <n v="60"/>
    <x v="0"/>
    <x v="1"/>
    <x v="0"/>
    <x v="0"/>
    <x v="2"/>
    <n v="8"/>
    <x v="364"/>
    <x v="0"/>
    <x v="0"/>
    <x v="2"/>
    <n v="2"/>
  </r>
  <r>
    <x v="365"/>
    <n v="7"/>
    <x v="1"/>
    <x v="0"/>
    <x v="2"/>
    <x v="4"/>
    <x v="1"/>
    <n v="10"/>
    <x v="365"/>
    <x v="0"/>
    <x v="2"/>
    <x v="0"/>
    <n v="3"/>
  </r>
  <r>
    <x v="366"/>
    <n v="57"/>
    <x v="0"/>
    <x v="1"/>
    <x v="1"/>
    <x v="2"/>
    <x v="2"/>
    <n v="19"/>
    <x v="366"/>
    <x v="0"/>
    <x v="1"/>
    <x v="1"/>
    <n v="2"/>
  </r>
  <r>
    <x v="367"/>
    <n v="36"/>
    <x v="3"/>
    <x v="0"/>
    <x v="2"/>
    <x v="4"/>
    <x v="1"/>
    <n v="11"/>
    <x v="367"/>
    <x v="1"/>
    <x v="1"/>
    <x v="1"/>
    <n v="4"/>
  </r>
  <r>
    <x v="368"/>
    <n v="45"/>
    <x v="0"/>
    <x v="0"/>
    <x v="0"/>
    <x v="4"/>
    <x v="2"/>
    <n v="7"/>
    <x v="368"/>
    <x v="0"/>
    <x v="2"/>
    <x v="3"/>
    <n v="2"/>
  </r>
  <r>
    <x v="369"/>
    <n v="20"/>
    <x v="3"/>
    <x v="1"/>
    <x v="3"/>
    <x v="4"/>
    <x v="0"/>
    <n v="11"/>
    <x v="369"/>
    <x v="0"/>
    <x v="0"/>
    <x v="1"/>
    <n v="2"/>
  </r>
  <r>
    <x v="370"/>
    <n v="65"/>
    <x v="2"/>
    <x v="0"/>
    <x v="3"/>
    <x v="4"/>
    <x v="0"/>
    <n v="17"/>
    <x v="370"/>
    <x v="1"/>
    <x v="1"/>
    <x v="3"/>
    <n v="2"/>
  </r>
  <r>
    <x v="371"/>
    <n v="8"/>
    <x v="1"/>
    <x v="1"/>
    <x v="0"/>
    <x v="0"/>
    <x v="1"/>
    <n v="1"/>
    <x v="371"/>
    <x v="1"/>
    <x v="0"/>
    <x v="2"/>
    <n v="3"/>
  </r>
  <r>
    <x v="372"/>
    <n v="16"/>
    <x v="1"/>
    <x v="1"/>
    <x v="1"/>
    <x v="1"/>
    <x v="2"/>
    <n v="8"/>
    <x v="372"/>
    <x v="0"/>
    <x v="1"/>
    <x v="1"/>
    <n v="1"/>
  </r>
  <r>
    <x v="373"/>
    <n v="14"/>
    <x v="1"/>
    <x v="0"/>
    <x v="0"/>
    <x v="3"/>
    <x v="2"/>
    <n v="6"/>
    <x v="373"/>
    <x v="1"/>
    <x v="2"/>
    <x v="0"/>
    <n v="5"/>
  </r>
  <r>
    <x v="374"/>
    <n v="76"/>
    <x v="2"/>
    <x v="1"/>
    <x v="5"/>
    <x v="4"/>
    <x v="0"/>
    <n v="18"/>
    <x v="374"/>
    <x v="0"/>
    <x v="0"/>
    <x v="1"/>
    <n v="2"/>
  </r>
  <r>
    <x v="375"/>
    <n v="87"/>
    <x v="2"/>
    <x v="0"/>
    <x v="4"/>
    <x v="4"/>
    <x v="0"/>
    <n v="6"/>
    <x v="375"/>
    <x v="1"/>
    <x v="0"/>
    <x v="3"/>
    <n v="2"/>
  </r>
  <r>
    <x v="376"/>
    <n v="15"/>
    <x v="1"/>
    <x v="0"/>
    <x v="1"/>
    <x v="4"/>
    <x v="1"/>
    <n v="5"/>
    <x v="376"/>
    <x v="1"/>
    <x v="0"/>
    <x v="2"/>
    <n v="2"/>
  </r>
  <r>
    <x v="377"/>
    <n v="66"/>
    <x v="2"/>
    <x v="1"/>
    <x v="2"/>
    <x v="1"/>
    <x v="0"/>
    <n v="13"/>
    <x v="377"/>
    <x v="0"/>
    <x v="1"/>
    <x v="3"/>
    <n v="1"/>
  </r>
  <r>
    <x v="378"/>
    <n v="32"/>
    <x v="3"/>
    <x v="1"/>
    <x v="5"/>
    <x v="2"/>
    <x v="1"/>
    <n v="19"/>
    <x v="378"/>
    <x v="1"/>
    <x v="1"/>
    <x v="1"/>
    <n v="4"/>
  </r>
  <r>
    <x v="379"/>
    <n v="87"/>
    <x v="2"/>
    <x v="1"/>
    <x v="1"/>
    <x v="2"/>
    <x v="0"/>
    <n v="8"/>
    <x v="379"/>
    <x v="0"/>
    <x v="1"/>
    <x v="3"/>
    <n v="3"/>
  </r>
  <r>
    <x v="380"/>
    <n v="63"/>
    <x v="2"/>
    <x v="1"/>
    <x v="0"/>
    <x v="0"/>
    <x v="0"/>
    <n v="9"/>
    <x v="380"/>
    <x v="1"/>
    <x v="2"/>
    <x v="3"/>
    <n v="1"/>
  </r>
  <r>
    <x v="381"/>
    <n v="86"/>
    <x v="2"/>
    <x v="0"/>
    <x v="0"/>
    <x v="2"/>
    <x v="2"/>
    <n v="17"/>
    <x v="381"/>
    <x v="0"/>
    <x v="1"/>
    <x v="2"/>
    <n v="2"/>
  </r>
  <r>
    <x v="382"/>
    <n v="51"/>
    <x v="0"/>
    <x v="0"/>
    <x v="0"/>
    <x v="4"/>
    <x v="0"/>
    <n v="3"/>
    <x v="382"/>
    <x v="1"/>
    <x v="2"/>
    <x v="0"/>
    <n v="1"/>
  </r>
  <r>
    <x v="383"/>
    <n v="25"/>
    <x v="3"/>
    <x v="1"/>
    <x v="0"/>
    <x v="4"/>
    <x v="0"/>
    <n v="19"/>
    <x v="383"/>
    <x v="1"/>
    <x v="0"/>
    <x v="1"/>
    <n v="1"/>
  </r>
  <r>
    <x v="384"/>
    <n v="58"/>
    <x v="0"/>
    <x v="0"/>
    <x v="2"/>
    <x v="4"/>
    <x v="1"/>
    <n v="11"/>
    <x v="384"/>
    <x v="1"/>
    <x v="0"/>
    <x v="2"/>
    <n v="1"/>
  </r>
  <r>
    <x v="385"/>
    <n v="63"/>
    <x v="2"/>
    <x v="0"/>
    <x v="5"/>
    <x v="0"/>
    <x v="0"/>
    <n v="17"/>
    <x v="385"/>
    <x v="1"/>
    <x v="2"/>
    <x v="0"/>
    <n v="4"/>
  </r>
  <r>
    <x v="386"/>
    <n v="62"/>
    <x v="2"/>
    <x v="0"/>
    <x v="3"/>
    <x v="4"/>
    <x v="1"/>
    <n v="19"/>
    <x v="386"/>
    <x v="1"/>
    <x v="1"/>
    <x v="3"/>
    <n v="5"/>
  </r>
  <r>
    <x v="387"/>
    <n v="22"/>
    <x v="3"/>
    <x v="0"/>
    <x v="4"/>
    <x v="2"/>
    <x v="0"/>
    <n v="2"/>
    <x v="387"/>
    <x v="0"/>
    <x v="2"/>
    <x v="0"/>
    <n v="3"/>
  </r>
  <r>
    <x v="388"/>
    <n v="58"/>
    <x v="0"/>
    <x v="1"/>
    <x v="2"/>
    <x v="1"/>
    <x v="0"/>
    <n v="8"/>
    <x v="388"/>
    <x v="1"/>
    <x v="0"/>
    <x v="3"/>
    <n v="4"/>
  </r>
  <r>
    <x v="389"/>
    <n v="58"/>
    <x v="0"/>
    <x v="1"/>
    <x v="2"/>
    <x v="1"/>
    <x v="1"/>
    <n v="19"/>
    <x v="389"/>
    <x v="0"/>
    <x v="0"/>
    <x v="3"/>
    <n v="4"/>
  </r>
  <r>
    <x v="390"/>
    <n v="86"/>
    <x v="2"/>
    <x v="0"/>
    <x v="3"/>
    <x v="3"/>
    <x v="2"/>
    <n v="7"/>
    <x v="390"/>
    <x v="0"/>
    <x v="2"/>
    <x v="2"/>
    <n v="5"/>
  </r>
  <r>
    <x v="391"/>
    <n v="49"/>
    <x v="0"/>
    <x v="1"/>
    <x v="3"/>
    <x v="2"/>
    <x v="1"/>
    <n v="17"/>
    <x v="391"/>
    <x v="0"/>
    <x v="1"/>
    <x v="3"/>
    <n v="4"/>
  </r>
  <r>
    <x v="392"/>
    <n v="52"/>
    <x v="0"/>
    <x v="1"/>
    <x v="4"/>
    <x v="4"/>
    <x v="1"/>
    <n v="6"/>
    <x v="392"/>
    <x v="1"/>
    <x v="1"/>
    <x v="2"/>
    <n v="1"/>
  </r>
  <r>
    <x v="393"/>
    <n v="42"/>
    <x v="0"/>
    <x v="1"/>
    <x v="4"/>
    <x v="1"/>
    <x v="1"/>
    <n v="19"/>
    <x v="393"/>
    <x v="0"/>
    <x v="2"/>
    <x v="0"/>
    <n v="1"/>
  </r>
  <r>
    <x v="394"/>
    <n v="70"/>
    <x v="2"/>
    <x v="0"/>
    <x v="3"/>
    <x v="2"/>
    <x v="2"/>
    <n v="6"/>
    <x v="394"/>
    <x v="1"/>
    <x v="2"/>
    <x v="0"/>
    <n v="2"/>
  </r>
  <r>
    <x v="395"/>
    <n v="15"/>
    <x v="1"/>
    <x v="0"/>
    <x v="0"/>
    <x v="1"/>
    <x v="0"/>
    <n v="2"/>
    <x v="395"/>
    <x v="0"/>
    <x v="1"/>
    <x v="3"/>
    <n v="4"/>
  </r>
  <r>
    <x v="396"/>
    <n v="54"/>
    <x v="0"/>
    <x v="0"/>
    <x v="2"/>
    <x v="4"/>
    <x v="1"/>
    <n v="6"/>
    <x v="396"/>
    <x v="0"/>
    <x v="0"/>
    <x v="2"/>
    <n v="2"/>
  </r>
  <r>
    <x v="397"/>
    <n v="60"/>
    <x v="0"/>
    <x v="1"/>
    <x v="1"/>
    <x v="1"/>
    <x v="1"/>
    <n v="5"/>
    <x v="397"/>
    <x v="0"/>
    <x v="2"/>
    <x v="3"/>
    <n v="3"/>
  </r>
  <r>
    <x v="398"/>
    <n v="8"/>
    <x v="1"/>
    <x v="0"/>
    <x v="4"/>
    <x v="3"/>
    <x v="2"/>
    <n v="19"/>
    <x v="398"/>
    <x v="0"/>
    <x v="1"/>
    <x v="2"/>
    <n v="1"/>
  </r>
  <r>
    <x v="399"/>
    <n v="53"/>
    <x v="0"/>
    <x v="0"/>
    <x v="4"/>
    <x v="3"/>
    <x v="1"/>
    <n v="4"/>
    <x v="399"/>
    <x v="0"/>
    <x v="1"/>
    <x v="2"/>
    <n v="3"/>
  </r>
  <r>
    <x v="400"/>
    <n v="60"/>
    <x v="0"/>
    <x v="1"/>
    <x v="3"/>
    <x v="1"/>
    <x v="0"/>
    <n v="17"/>
    <x v="400"/>
    <x v="1"/>
    <x v="0"/>
    <x v="2"/>
    <n v="5"/>
  </r>
  <r>
    <x v="401"/>
    <n v="5"/>
    <x v="1"/>
    <x v="0"/>
    <x v="5"/>
    <x v="2"/>
    <x v="2"/>
    <n v="11"/>
    <x v="401"/>
    <x v="0"/>
    <x v="0"/>
    <x v="0"/>
    <n v="1"/>
  </r>
  <r>
    <x v="402"/>
    <n v="68"/>
    <x v="2"/>
    <x v="0"/>
    <x v="1"/>
    <x v="2"/>
    <x v="0"/>
    <n v="4"/>
    <x v="402"/>
    <x v="0"/>
    <x v="0"/>
    <x v="2"/>
    <n v="3"/>
  </r>
  <r>
    <x v="403"/>
    <n v="6"/>
    <x v="1"/>
    <x v="1"/>
    <x v="1"/>
    <x v="2"/>
    <x v="0"/>
    <n v="13"/>
    <x v="403"/>
    <x v="1"/>
    <x v="0"/>
    <x v="0"/>
    <n v="5"/>
  </r>
  <r>
    <x v="404"/>
    <n v="47"/>
    <x v="0"/>
    <x v="1"/>
    <x v="4"/>
    <x v="1"/>
    <x v="2"/>
    <n v="17"/>
    <x v="404"/>
    <x v="1"/>
    <x v="0"/>
    <x v="2"/>
    <n v="3"/>
  </r>
  <r>
    <x v="405"/>
    <n v="55"/>
    <x v="0"/>
    <x v="1"/>
    <x v="0"/>
    <x v="2"/>
    <x v="1"/>
    <n v="9"/>
    <x v="405"/>
    <x v="1"/>
    <x v="2"/>
    <x v="0"/>
    <n v="5"/>
  </r>
  <r>
    <x v="406"/>
    <n v="40"/>
    <x v="3"/>
    <x v="0"/>
    <x v="5"/>
    <x v="4"/>
    <x v="0"/>
    <n v="4"/>
    <x v="406"/>
    <x v="0"/>
    <x v="1"/>
    <x v="1"/>
    <n v="5"/>
  </r>
  <r>
    <x v="407"/>
    <n v="52"/>
    <x v="0"/>
    <x v="0"/>
    <x v="1"/>
    <x v="3"/>
    <x v="0"/>
    <n v="14"/>
    <x v="407"/>
    <x v="0"/>
    <x v="2"/>
    <x v="0"/>
    <n v="1"/>
  </r>
  <r>
    <x v="408"/>
    <n v="16"/>
    <x v="1"/>
    <x v="0"/>
    <x v="4"/>
    <x v="4"/>
    <x v="0"/>
    <n v="19"/>
    <x v="408"/>
    <x v="0"/>
    <x v="2"/>
    <x v="0"/>
    <n v="2"/>
  </r>
  <r>
    <x v="409"/>
    <n v="13"/>
    <x v="1"/>
    <x v="1"/>
    <x v="1"/>
    <x v="2"/>
    <x v="0"/>
    <n v="3"/>
    <x v="409"/>
    <x v="0"/>
    <x v="2"/>
    <x v="3"/>
    <n v="5"/>
  </r>
  <r>
    <x v="410"/>
    <n v="30"/>
    <x v="3"/>
    <x v="1"/>
    <x v="5"/>
    <x v="4"/>
    <x v="2"/>
    <n v="14"/>
    <x v="410"/>
    <x v="0"/>
    <x v="2"/>
    <x v="2"/>
    <n v="5"/>
  </r>
  <r>
    <x v="411"/>
    <n v="19"/>
    <x v="3"/>
    <x v="0"/>
    <x v="5"/>
    <x v="2"/>
    <x v="2"/>
    <n v="8"/>
    <x v="411"/>
    <x v="0"/>
    <x v="2"/>
    <x v="1"/>
    <n v="1"/>
  </r>
  <r>
    <x v="412"/>
    <n v="17"/>
    <x v="1"/>
    <x v="0"/>
    <x v="2"/>
    <x v="1"/>
    <x v="0"/>
    <n v="1"/>
    <x v="412"/>
    <x v="1"/>
    <x v="0"/>
    <x v="3"/>
    <n v="2"/>
  </r>
  <r>
    <x v="413"/>
    <n v="63"/>
    <x v="2"/>
    <x v="1"/>
    <x v="3"/>
    <x v="4"/>
    <x v="1"/>
    <n v="10"/>
    <x v="413"/>
    <x v="1"/>
    <x v="0"/>
    <x v="2"/>
    <n v="4"/>
  </r>
  <r>
    <x v="414"/>
    <n v="19"/>
    <x v="3"/>
    <x v="1"/>
    <x v="3"/>
    <x v="1"/>
    <x v="0"/>
    <n v="18"/>
    <x v="414"/>
    <x v="0"/>
    <x v="1"/>
    <x v="1"/>
    <n v="4"/>
  </r>
  <r>
    <x v="415"/>
    <n v="58"/>
    <x v="0"/>
    <x v="1"/>
    <x v="4"/>
    <x v="1"/>
    <x v="1"/>
    <n v="16"/>
    <x v="415"/>
    <x v="0"/>
    <x v="2"/>
    <x v="1"/>
    <n v="2"/>
  </r>
  <r>
    <x v="416"/>
    <n v="55"/>
    <x v="0"/>
    <x v="1"/>
    <x v="5"/>
    <x v="0"/>
    <x v="0"/>
    <n v="8"/>
    <x v="416"/>
    <x v="0"/>
    <x v="1"/>
    <x v="1"/>
    <n v="3"/>
  </r>
  <r>
    <x v="417"/>
    <n v="62"/>
    <x v="2"/>
    <x v="0"/>
    <x v="2"/>
    <x v="2"/>
    <x v="1"/>
    <n v="1"/>
    <x v="417"/>
    <x v="0"/>
    <x v="0"/>
    <x v="2"/>
    <n v="1"/>
  </r>
  <r>
    <x v="418"/>
    <n v="23"/>
    <x v="3"/>
    <x v="1"/>
    <x v="2"/>
    <x v="3"/>
    <x v="0"/>
    <n v="12"/>
    <x v="418"/>
    <x v="0"/>
    <x v="0"/>
    <x v="1"/>
    <n v="2"/>
  </r>
  <r>
    <x v="419"/>
    <n v="9"/>
    <x v="1"/>
    <x v="0"/>
    <x v="1"/>
    <x v="2"/>
    <x v="1"/>
    <n v="8"/>
    <x v="419"/>
    <x v="1"/>
    <x v="0"/>
    <x v="1"/>
    <n v="4"/>
  </r>
  <r>
    <x v="420"/>
    <n v="12"/>
    <x v="1"/>
    <x v="0"/>
    <x v="1"/>
    <x v="3"/>
    <x v="0"/>
    <n v="16"/>
    <x v="420"/>
    <x v="1"/>
    <x v="2"/>
    <x v="3"/>
    <n v="5"/>
  </r>
  <r>
    <x v="421"/>
    <n v="1"/>
    <x v="1"/>
    <x v="0"/>
    <x v="2"/>
    <x v="2"/>
    <x v="0"/>
    <n v="18"/>
    <x v="421"/>
    <x v="0"/>
    <x v="2"/>
    <x v="0"/>
    <n v="4"/>
  </r>
  <r>
    <x v="422"/>
    <n v="58"/>
    <x v="0"/>
    <x v="1"/>
    <x v="1"/>
    <x v="1"/>
    <x v="1"/>
    <n v="4"/>
    <x v="422"/>
    <x v="1"/>
    <x v="0"/>
    <x v="2"/>
    <n v="5"/>
  </r>
  <r>
    <x v="423"/>
    <n v="1"/>
    <x v="1"/>
    <x v="1"/>
    <x v="5"/>
    <x v="4"/>
    <x v="2"/>
    <n v="6"/>
    <x v="423"/>
    <x v="0"/>
    <x v="1"/>
    <x v="0"/>
    <n v="1"/>
  </r>
  <r>
    <x v="424"/>
    <n v="34"/>
    <x v="3"/>
    <x v="1"/>
    <x v="0"/>
    <x v="4"/>
    <x v="1"/>
    <n v="12"/>
    <x v="424"/>
    <x v="0"/>
    <x v="1"/>
    <x v="3"/>
    <n v="5"/>
  </r>
  <r>
    <x v="425"/>
    <n v="48"/>
    <x v="0"/>
    <x v="1"/>
    <x v="5"/>
    <x v="0"/>
    <x v="2"/>
    <n v="9"/>
    <x v="425"/>
    <x v="0"/>
    <x v="0"/>
    <x v="0"/>
    <n v="2"/>
  </r>
  <r>
    <x v="426"/>
    <n v="89"/>
    <x v="2"/>
    <x v="0"/>
    <x v="2"/>
    <x v="3"/>
    <x v="0"/>
    <n v="15"/>
    <x v="426"/>
    <x v="1"/>
    <x v="1"/>
    <x v="1"/>
    <n v="5"/>
  </r>
  <r>
    <x v="427"/>
    <n v="1"/>
    <x v="1"/>
    <x v="1"/>
    <x v="2"/>
    <x v="3"/>
    <x v="1"/>
    <n v="16"/>
    <x v="427"/>
    <x v="1"/>
    <x v="0"/>
    <x v="1"/>
    <n v="3"/>
  </r>
  <r>
    <x v="428"/>
    <n v="16"/>
    <x v="1"/>
    <x v="1"/>
    <x v="5"/>
    <x v="3"/>
    <x v="1"/>
    <n v="12"/>
    <x v="428"/>
    <x v="0"/>
    <x v="1"/>
    <x v="2"/>
    <n v="2"/>
  </r>
  <r>
    <x v="429"/>
    <n v="61"/>
    <x v="2"/>
    <x v="0"/>
    <x v="1"/>
    <x v="1"/>
    <x v="1"/>
    <n v="14"/>
    <x v="429"/>
    <x v="1"/>
    <x v="0"/>
    <x v="2"/>
    <n v="1"/>
  </r>
  <r>
    <x v="430"/>
    <n v="64"/>
    <x v="2"/>
    <x v="1"/>
    <x v="1"/>
    <x v="3"/>
    <x v="2"/>
    <n v="13"/>
    <x v="430"/>
    <x v="1"/>
    <x v="1"/>
    <x v="2"/>
    <n v="2"/>
  </r>
  <r>
    <x v="431"/>
    <n v="63"/>
    <x v="2"/>
    <x v="0"/>
    <x v="3"/>
    <x v="4"/>
    <x v="2"/>
    <n v="2"/>
    <x v="431"/>
    <x v="0"/>
    <x v="2"/>
    <x v="3"/>
    <n v="3"/>
  </r>
  <r>
    <x v="432"/>
    <n v="69"/>
    <x v="2"/>
    <x v="0"/>
    <x v="2"/>
    <x v="1"/>
    <x v="0"/>
    <n v="3"/>
    <x v="432"/>
    <x v="1"/>
    <x v="0"/>
    <x v="2"/>
    <n v="1"/>
  </r>
  <r>
    <x v="433"/>
    <n v="22"/>
    <x v="3"/>
    <x v="0"/>
    <x v="4"/>
    <x v="2"/>
    <x v="2"/>
    <n v="10"/>
    <x v="433"/>
    <x v="1"/>
    <x v="0"/>
    <x v="3"/>
    <n v="4"/>
  </r>
  <r>
    <x v="434"/>
    <n v="67"/>
    <x v="2"/>
    <x v="0"/>
    <x v="3"/>
    <x v="3"/>
    <x v="2"/>
    <n v="9"/>
    <x v="434"/>
    <x v="0"/>
    <x v="1"/>
    <x v="1"/>
    <n v="3"/>
  </r>
  <r>
    <x v="435"/>
    <n v="76"/>
    <x v="2"/>
    <x v="0"/>
    <x v="1"/>
    <x v="3"/>
    <x v="0"/>
    <n v="8"/>
    <x v="435"/>
    <x v="0"/>
    <x v="0"/>
    <x v="0"/>
    <n v="1"/>
  </r>
  <r>
    <x v="436"/>
    <n v="26"/>
    <x v="3"/>
    <x v="0"/>
    <x v="5"/>
    <x v="2"/>
    <x v="1"/>
    <n v="10"/>
    <x v="436"/>
    <x v="1"/>
    <x v="0"/>
    <x v="1"/>
    <n v="5"/>
  </r>
  <r>
    <x v="437"/>
    <n v="16"/>
    <x v="1"/>
    <x v="0"/>
    <x v="1"/>
    <x v="3"/>
    <x v="1"/>
    <n v="19"/>
    <x v="437"/>
    <x v="0"/>
    <x v="0"/>
    <x v="1"/>
    <n v="2"/>
  </r>
  <r>
    <x v="438"/>
    <n v="51"/>
    <x v="0"/>
    <x v="0"/>
    <x v="5"/>
    <x v="2"/>
    <x v="0"/>
    <n v="3"/>
    <x v="438"/>
    <x v="1"/>
    <x v="2"/>
    <x v="1"/>
    <n v="1"/>
  </r>
  <r>
    <x v="439"/>
    <n v="86"/>
    <x v="2"/>
    <x v="1"/>
    <x v="3"/>
    <x v="1"/>
    <x v="1"/>
    <n v="5"/>
    <x v="439"/>
    <x v="0"/>
    <x v="2"/>
    <x v="2"/>
    <n v="2"/>
  </r>
  <r>
    <x v="440"/>
    <n v="57"/>
    <x v="0"/>
    <x v="1"/>
    <x v="2"/>
    <x v="4"/>
    <x v="2"/>
    <n v="3"/>
    <x v="440"/>
    <x v="0"/>
    <x v="1"/>
    <x v="2"/>
    <n v="5"/>
  </r>
  <r>
    <x v="441"/>
    <n v="29"/>
    <x v="3"/>
    <x v="1"/>
    <x v="1"/>
    <x v="2"/>
    <x v="0"/>
    <n v="16"/>
    <x v="441"/>
    <x v="0"/>
    <x v="2"/>
    <x v="2"/>
    <n v="1"/>
  </r>
  <r>
    <x v="442"/>
    <n v="78"/>
    <x v="2"/>
    <x v="1"/>
    <x v="5"/>
    <x v="0"/>
    <x v="0"/>
    <n v="17"/>
    <x v="442"/>
    <x v="0"/>
    <x v="1"/>
    <x v="0"/>
    <n v="4"/>
  </r>
  <r>
    <x v="443"/>
    <n v="69"/>
    <x v="2"/>
    <x v="0"/>
    <x v="2"/>
    <x v="2"/>
    <x v="0"/>
    <n v="15"/>
    <x v="443"/>
    <x v="1"/>
    <x v="2"/>
    <x v="2"/>
    <n v="3"/>
  </r>
  <r>
    <x v="444"/>
    <n v="47"/>
    <x v="0"/>
    <x v="1"/>
    <x v="4"/>
    <x v="3"/>
    <x v="1"/>
    <n v="3"/>
    <x v="444"/>
    <x v="0"/>
    <x v="1"/>
    <x v="3"/>
    <n v="1"/>
  </r>
  <r>
    <x v="445"/>
    <n v="62"/>
    <x v="2"/>
    <x v="0"/>
    <x v="5"/>
    <x v="1"/>
    <x v="0"/>
    <n v="12"/>
    <x v="445"/>
    <x v="0"/>
    <x v="2"/>
    <x v="1"/>
    <n v="5"/>
  </r>
  <r>
    <x v="446"/>
    <n v="69"/>
    <x v="2"/>
    <x v="1"/>
    <x v="3"/>
    <x v="1"/>
    <x v="0"/>
    <n v="9"/>
    <x v="446"/>
    <x v="0"/>
    <x v="2"/>
    <x v="0"/>
    <n v="1"/>
  </r>
  <r>
    <x v="447"/>
    <n v="76"/>
    <x v="2"/>
    <x v="1"/>
    <x v="4"/>
    <x v="2"/>
    <x v="0"/>
    <n v="12"/>
    <x v="447"/>
    <x v="1"/>
    <x v="1"/>
    <x v="0"/>
    <n v="2"/>
  </r>
  <r>
    <x v="448"/>
    <n v="16"/>
    <x v="1"/>
    <x v="1"/>
    <x v="4"/>
    <x v="4"/>
    <x v="1"/>
    <n v="15"/>
    <x v="448"/>
    <x v="1"/>
    <x v="0"/>
    <x v="0"/>
    <n v="1"/>
  </r>
  <r>
    <x v="449"/>
    <n v="48"/>
    <x v="0"/>
    <x v="0"/>
    <x v="0"/>
    <x v="0"/>
    <x v="2"/>
    <n v="2"/>
    <x v="449"/>
    <x v="0"/>
    <x v="0"/>
    <x v="0"/>
    <n v="4"/>
  </r>
  <r>
    <x v="450"/>
    <n v="85"/>
    <x v="2"/>
    <x v="1"/>
    <x v="1"/>
    <x v="1"/>
    <x v="0"/>
    <n v="18"/>
    <x v="450"/>
    <x v="0"/>
    <x v="2"/>
    <x v="0"/>
    <n v="1"/>
  </r>
  <r>
    <x v="451"/>
    <n v="39"/>
    <x v="3"/>
    <x v="0"/>
    <x v="5"/>
    <x v="3"/>
    <x v="2"/>
    <n v="12"/>
    <x v="451"/>
    <x v="0"/>
    <x v="1"/>
    <x v="3"/>
    <n v="3"/>
  </r>
  <r>
    <x v="452"/>
    <n v="33"/>
    <x v="3"/>
    <x v="0"/>
    <x v="4"/>
    <x v="3"/>
    <x v="1"/>
    <n v="4"/>
    <x v="452"/>
    <x v="0"/>
    <x v="0"/>
    <x v="1"/>
    <n v="1"/>
  </r>
  <r>
    <x v="453"/>
    <n v="23"/>
    <x v="3"/>
    <x v="1"/>
    <x v="0"/>
    <x v="4"/>
    <x v="1"/>
    <n v="16"/>
    <x v="453"/>
    <x v="0"/>
    <x v="1"/>
    <x v="0"/>
    <n v="2"/>
  </r>
  <r>
    <x v="454"/>
    <n v="10"/>
    <x v="1"/>
    <x v="1"/>
    <x v="3"/>
    <x v="1"/>
    <x v="1"/>
    <n v="16"/>
    <x v="454"/>
    <x v="0"/>
    <x v="0"/>
    <x v="1"/>
    <n v="1"/>
  </r>
  <r>
    <x v="455"/>
    <n v="69"/>
    <x v="2"/>
    <x v="1"/>
    <x v="2"/>
    <x v="2"/>
    <x v="1"/>
    <n v="1"/>
    <x v="455"/>
    <x v="1"/>
    <x v="1"/>
    <x v="2"/>
    <n v="4"/>
  </r>
  <r>
    <x v="456"/>
    <n v="34"/>
    <x v="3"/>
    <x v="0"/>
    <x v="5"/>
    <x v="3"/>
    <x v="2"/>
    <n v="2"/>
    <x v="456"/>
    <x v="0"/>
    <x v="2"/>
    <x v="0"/>
    <n v="5"/>
  </r>
  <r>
    <x v="457"/>
    <n v="52"/>
    <x v="0"/>
    <x v="1"/>
    <x v="4"/>
    <x v="4"/>
    <x v="0"/>
    <n v="3"/>
    <x v="457"/>
    <x v="0"/>
    <x v="1"/>
    <x v="0"/>
    <n v="1"/>
  </r>
  <r>
    <x v="458"/>
    <n v="10"/>
    <x v="1"/>
    <x v="0"/>
    <x v="1"/>
    <x v="1"/>
    <x v="1"/>
    <n v="17"/>
    <x v="458"/>
    <x v="0"/>
    <x v="0"/>
    <x v="1"/>
    <n v="1"/>
  </r>
  <r>
    <x v="459"/>
    <n v="19"/>
    <x v="3"/>
    <x v="0"/>
    <x v="0"/>
    <x v="1"/>
    <x v="1"/>
    <n v="1"/>
    <x v="459"/>
    <x v="0"/>
    <x v="2"/>
    <x v="0"/>
    <n v="3"/>
  </r>
  <r>
    <x v="460"/>
    <n v="58"/>
    <x v="0"/>
    <x v="1"/>
    <x v="4"/>
    <x v="1"/>
    <x v="2"/>
    <n v="6"/>
    <x v="460"/>
    <x v="0"/>
    <x v="1"/>
    <x v="0"/>
    <n v="4"/>
  </r>
  <r>
    <x v="461"/>
    <n v="1"/>
    <x v="1"/>
    <x v="1"/>
    <x v="1"/>
    <x v="1"/>
    <x v="2"/>
    <n v="15"/>
    <x v="461"/>
    <x v="0"/>
    <x v="0"/>
    <x v="0"/>
    <n v="5"/>
  </r>
  <r>
    <x v="462"/>
    <n v="69"/>
    <x v="2"/>
    <x v="0"/>
    <x v="4"/>
    <x v="1"/>
    <x v="1"/>
    <n v="14"/>
    <x v="462"/>
    <x v="1"/>
    <x v="2"/>
    <x v="3"/>
    <n v="2"/>
  </r>
  <r>
    <x v="463"/>
    <n v="4"/>
    <x v="1"/>
    <x v="0"/>
    <x v="5"/>
    <x v="3"/>
    <x v="0"/>
    <n v="15"/>
    <x v="463"/>
    <x v="1"/>
    <x v="1"/>
    <x v="3"/>
    <n v="1"/>
  </r>
  <r>
    <x v="464"/>
    <n v="16"/>
    <x v="1"/>
    <x v="0"/>
    <x v="5"/>
    <x v="4"/>
    <x v="0"/>
    <n v="14"/>
    <x v="464"/>
    <x v="1"/>
    <x v="0"/>
    <x v="0"/>
    <n v="5"/>
  </r>
  <r>
    <x v="465"/>
    <n v="24"/>
    <x v="3"/>
    <x v="1"/>
    <x v="5"/>
    <x v="1"/>
    <x v="1"/>
    <n v="5"/>
    <x v="465"/>
    <x v="1"/>
    <x v="1"/>
    <x v="3"/>
    <n v="2"/>
  </r>
  <r>
    <x v="466"/>
    <n v="80"/>
    <x v="2"/>
    <x v="0"/>
    <x v="3"/>
    <x v="0"/>
    <x v="2"/>
    <n v="6"/>
    <x v="466"/>
    <x v="1"/>
    <x v="1"/>
    <x v="2"/>
    <n v="4"/>
  </r>
  <r>
    <x v="467"/>
    <n v="2"/>
    <x v="1"/>
    <x v="1"/>
    <x v="3"/>
    <x v="0"/>
    <x v="1"/>
    <n v="17"/>
    <x v="467"/>
    <x v="1"/>
    <x v="2"/>
    <x v="0"/>
    <n v="4"/>
  </r>
  <r>
    <x v="468"/>
    <n v="32"/>
    <x v="3"/>
    <x v="0"/>
    <x v="0"/>
    <x v="4"/>
    <x v="1"/>
    <n v="11"/>
    <x v="468"/>
    <x v="0"/>
    <x v="2"/>
    <x v="2"/>
    <n v="5"/>
  </r>
  <r>
    <x v="469"/>
    <n v="84"/>
    <x v="2"/>
    <x v="0"/>
    <x v="5"/>
    <x v="2"/>
    <x v="2"/>
    <n v="16"/>
    <x v="469"/>
    <x v="0"/>
    <x v="0"/>
    <x v="1"/>
    <n v="2"/>
  </r>
  <r>
    <x v="470"/>
    <n v="24"/>
    <x v="3"/>
    <x v="1"/>
    <x v="1"/>
    <x v="2"/>
    <x v="1"/>
    <n v="12"/>
    <x v="470"/>
    <x v="0"/>
    <x v="2"/>
    <x v="2"/>
    <n v="4"/>
  </r>
  <r>
    <x v="471"/>
    <n v="12"/>
    <x v="1"/>
    <x v="0"/>
    <x v="4"/>
    <x v="2"/>
    <x v="1"/>
    <n v="15"/>
    <x v="471"/>
    <x v="0"/>
    <x v="0"/>
    <x v="1"/>
    <n v="5"/>
  </r>
  <r>
    <x v="472"/>
    <n v="50"/>
    <x v="0"/>
    <x v="1"/>
    <x v="2"/>
    <x v="0"/>
    <x v="1"/>
    <n v="4"/>
    <x v="472"/>
    <x v="0"/>
    <x v="1"/>
    <x v="0"/>
    <n v="4"/>
  </r>
  <r>
    <x v="473"/>
    <n v="35"/>
    <x v="3"/>
    <x v="1"/>
    <x v="1"/>
    <x v="2"/>
    <x v="2"/>
    <n v="18"/>
    <x v="473"/>
    <x v="0"/>
    <x v="1"/>
    <x v="1"/>
    <n v="4"/>
  </r>
  <r>
    <x v="474"/>
    <n v="33"/>
    <x v="3"/>
    <x v="0"/>
    <x v="3"/>
    <x v="3"/>
    <x v="0"/>
    <n v="3"/>
    <x v="474"/>
    <x v="1"/>
    <x v="0"/>
    <x v="1"/>
    <n v="4"/>
  </r>
  <r>
    <x v="475"/>
    <n v="33"/>
    <x v="3"/>
    <x v="1"/>
    <x v="3"/>
    <x v="1"/>
    <x v="0"/>
    <n v="8"/>
    <x v="475"/>
    <x v="0"/>
    <x v="1"/>
    <x v="2"/>
    <n v="3"/>
  </r>
  <r>
    <x v="476"/>
    <n v="61"/>
    <x v="2"/>
    <x v="1"/>
    <x v="1"/>
    <x v="0"/>
    <x v="2"/>
    <n v="3"/>
    <x v="476"/>
    <x v="1"/>
    <x v="2"/>
    <x v="2"/>
    <n v="2"/>
  </r>
  <r>
    <x v="477"/>
    <n v="51"/>
    <x v="0"/>
    <x v="0"/>
    <x v="3"/>
    <x v="4"/>
    <x v="0"/>
    <n v="8"/>
    <x v="477"/>
    <x v="1"/>
    <x v="1"/>
    <x v="2"/>
    <n v="5"/>
  </r>
  <r>
    <x v="478"/>
    <n v="43"/>
    <x v="0"/>
    <x v="1"/>
    <x v="5"/>
    <x v="4"/>
    <x v="1"/>
    <n v="18"/>
    <x v="478"/>
    <x v="0"/>
    <x v="2"/>
    <x v="0"/>
    <n v="5"/>
  </r>
  <r>
    <x v="479"/>
    <n v="12"/>
    <x v="1"/>
    <x v="1"/>
    <x v="0"/>
    <x v="1"/>
    <x v="0"/>
    <n v="10"/>
    <x v="479"/>
    <x v="0"/>
    <x v="0"/>
    <x v="0"/>
    <n v="2"/>
  </r>
  <r>
    <x v="480"/>
    <n v="67"/>
    <x v="2"/>
    <x v="1"/>
    <x v="4"/>
    <x v="0"/>
    <x v="1"/>
    <n v="17"/>
    <x v="480"/>
    <x v="0"/>
    <x v="0"/>
    <x v="2"/>
    <n v="2"/>
  </r>
  <r>
    <x v="481"/>
    <n v="65"/>
    <x v="2"/>
    <x v="0"/>
    <x v="0"/>
    <x v="2"/>
    <x v="0"/>
    <n v="8"/>
    <x v="481"/>
    <x v="0"/>
    <x v="1"/>
    <x v="0"/>
    <n v="2"/>
  </r>
  <r>
    <x v="482"/>
    <n v="33"/>
    <x v="3"/>
    <x v="1"/>
    <x v="4"/>
    <x v="2"/>
    <x v="2"/>
    <n v="11"/>
    <x v="482"/>
    <x v="0"/>
    <x v="1"/>
    <x v="0"/>
    <n v="2"/>
  </r>
  <r>
    <x v="483"/>
    <n v="40"/>
    <x v="3"/>
    <x v="0"/>
    <x v="4"/>
    <x v="3"/>
    <x v="0"/>
    <n v="5"/>
    <x v="483"/>
    <x v="0"/>
    <x v="2"/>
    <x v="1"/>
    <n v="1"/>
  </r>
  <r>
    <x v="484"/>
    <n v="74"/>
    <x v="2"/>
    <x v="0"/>
    <x v="0"/>
    <x v="3"/>
    <x v="0"/>
    <n v="13"/>
    <x v="484"/>
    <x v="0"/>
    <x v="2"/>
    <x v="1"/>
    <n v="5"/>
  </r>
  <r>
    <x v="485"/>
    <n v="43"/>
    <x v="0"/>
    <x v="1"/>
    <x v="1"/>
    <x v="2"/>
    <x v="0"/>
    <n v="5"/>
    <x v="485"/>
    <x v="1"/>
    <x v="1"/>
    <x v="2"/>
    <n v="1"/>
  </r>
  <r>
    <x v="486"/>
    <n v="44"/>
    <x v="0"/>
    <x v="1"/>
    <x v="4"/>
    <x v="4"/>
    <x v="2"/>
    <n v="13"/>
    <x v="486"/>
    <x v="0"/>
    <x v="1"/>
    <x v="0"/>
    <n v="4"/>
  </r>
  <r>
    <x v="487"/>
    <n v="29"/>
    <x v="3"/>
    <x v="1"/>
    <x v="0"/>
    <x v="4"/>
    <x v="0"/>
    <n v="6"/>
    <x v="487"/>
    <x v="0"/>
    <x v="0"/>
    <x v="1"/>
    <n v="4"/>
  </r>
  <r>
    <x v="488"/>
    <n v="13"/>
    <x v="1"/>
    <x v="0"/>
    <x v="4"/>
    <x v="3"/>
    <x v="2"/>
    <n v="5"/>
    <x v="488"/>
    <x v="1"/>
    <x v="0"/>
    <x v="3"/>
    <n v="5"/>
  </r>
  <r>
    <x v="489"/>
    <n v="12"/>
    <x v="1"/>
    <x v="1"/>
    <x v="2"/>
    <x v="1"/>
    <x v="1"/>
    <n v="9"/>
    <x v="489"/>
    <x v="0"/>
    <x v="0"/>
    <x v="0"/>
    <n v="4"/>
  </r>
  <r>
    <x v="490"/>
    <n v="46"/>
    <x v="0"/>
    <x v="1"/>
    <x v="1"/>
    <x v="2"/>
    <x v="0"/>
    <n v="16"/>
    <x v="490"/>
    <x v="0"/>
    <x v="1"/>
    <x v="3"/>
    <n v="2"/>
  </r>
  <r>
    <x v="491"/>
    <n v="2"/>
    <x v="1"/>
    <x v="1"/>
    <x v="5"/>
    <x v="3"/>
    <x v="2"/>
    <n v="2"/>
    <x v="491"/>
    <x v="1"/>
    <x v="1"/>
    <x v="2"/>
    <n v="1"/>
  </r>
  <r>
    <x v="492"/>
    <n v="35"/>
    <x v="3"/>
    <x v="1"/>
    <x v="4"/>
    <x v="3"/>
    <x v="2"/>
    <n v="1"/>
    <x v="492"/>
    <x v="0"/>
    <x v="1"/>
    <x v="0"/>
    <n v="2"/>
  </r>
  <r>
    <x v="493"/>
    <n v="87"/>
    <x v="2"/>
    <x v="1"/>
    <x v="2"/>
    <x v="2"/>
    <x v="0"/>
    <n v="8"/>
    <x v="493"/>
    <x v="0"/>
    <x v="0"/>
    <x v="2"/>
    <n v="4"/>
  </r>
  <r>
    <x v="494"/>
    <n v="81"/>
    <x v="2"/>
    <x v="0"/>
    <x v="5"/>
    <x v="2"/>
    <x v="1"/>
    <n v="19"/>
    <x v="494"/>
    <x v="0"/>
    <x v="1"/>
    <x v="2"/>
    <n v="1"/>
  </r>
  <r>
    <x v="495"/>
    <n v="8"/>
    <x v="1"/>
    <x v="0"/>
    <x v="5"/>
    <x v="4"/>
    <x v="2"/>
    <n v="11"/>
    <x v="495"/>
    <x v="0"/>
    <x v="2"/>
    <x v="2"/>
    <n v="2"/>
  </r>
  <r>
    <x v="496"/>
    <n v="26"/>
    <x v="3"/>
    <x v="1"/>
    <x v="4"/>
    <x v="1"/>
    <x v="0"/>
    <n v="12"/>
    <x v="496"/>
    <x v="0"/>
    <x v="1"/>
    <x v="2"/>
    <n v="5"/>
  </r>
  <r>
    <x v="497"/>
    <n v="74"/>
    <x v="2"/>
    <x v="1"/>
    <x v="0"/>
    <x v="1"/>
    <x v="1"/>
    <n v="12"/>
    <x v="497"/>
    <x v="0"/>
    <x v="1"/>
    <x v="2"/>
    <n v="2"/>
  </r>
  <r>
    <x v="498"/>
    <n v="34"/>
    <x v="3"/>
    <x v="1"/>
    <x v="4"/>
    <x v="2"/>
    <x v="2"/>
    <n v="7"/>
    <x v="498"/>
    <x v="1"/>
    <x v="1"/>
    <x v="0"/>
    <n v="4"/>
  </r>
  <r>
    <x v="499"/>
    <n v="7"/>
    <x v="1"/>
    <x v="1"/>
    <x v="2"/>
    <x v="0"/>
    <x v="2"/>
    <n v="13"/>
    <x v="499"/>
    <x v="0"/>
    <x v="1"/>
    <x v="3"/>
    <n v="1"/>
  </r>
  <r>
    <x v="500"/>
    <n v="68"/>
    <x v="2"/>
    <x v="0"/>
    <x v="5"/>
    <x v="3"/>
    <x v="1"/>
    <n v="8"/>
    <x v="500"/>
    <x v="0"/>
    <x v="1"/>
    <x v="0"/>
    <n v="5"/>
  </r>
  <r>
    <x v="501"/>
    <n v="58"/>
    <x v="0"/>
    <x v="1"/>
    <x v="4"/>
    <x v="3"/>
    <x v="1"/>
    <n v="9"/>
    <x v="501"/>
    <x v="1"/>
    <x v="2"/>
    <x v="0"/>
    <n v="1"/>
  </r>
  <r>
    <x v="502"/>
    <n v="75"/>
    <x v="2"/>
    <x v="0"/>
    <x v="0"/>
    <x v="2"/>
    <x v="0"/>
    <n v="7"/>
    <x v="502"/>
    <x v="1"/>
    <x v="2"/>
    <x v="0"/>
    <n v="5"/>
  </r>
  <r>
    <x v="503"/>
    <n v="29"/>
    <x v="3"/>
    <x v="0"/>
    <x v="4"/>
    <x v="0"/>
    <x v="0"/>
    <n v="15"/>
    <x v="503"/>
    <x v="0"/>
    <x v="1"/>
    <x v="1"/>
    <n v="1"/>
  </r>
  <r>
    <x v="504"/>
    <n v="36"/>
    <x v="3"/>
    <x v="1"/>
    <x v="1"/>
    <x v="4"/>
    <x v="2"/>
    <n v="2"/>
    <x v="504"/>
    <x v="1"/>
    <x v="0"/>
    <x v="1"/>
    <n v="4"/>
  </r>
  <r>
    <x v="505"/>
    <n v="89"/>
    <x v="2"/>
    <x v="0"/>
    <x v="0"/>
    <x v="2"/>
    <x v="1"/>
    <n v="12"/>
    <x v="505"/>
    <x v="0"/>
    <x v="1"/>
    <x v="0"/>
    <n v="5"/>
  </r>
  <r>
    <x v="506"/>
    <n v="21"/>
    <x v="3"/>
    <x v="0"/>
    <x v="2"/>
    <x v="2"/>
    <x v="1"/>
    <n v="1"/>
    <x v="506"/>
    <x v="0"/>
    <x v="1"/>
    <x v="3"/>
    <n v="3"/>
  </r>
  <r>
    <x v="507"/>
    <n v="36"/>
    <x v="3"/>
    <x v="0"/>
    <x v="5"/>
    <x v="3"/>
    <x v="1"/>
    <n v="8"/>
    <x v="507"/>
    <x v="1"/>
    <x v="1"/>
    <x v="0"/>
    <n v="1"/>
  </r>
  <r>
    <x v="508"/>
    <n v="10"/>
    <x v="1"/>
    <x v="0"/>
    <x v="4"/>
    <x v="2"/>
    <x v="2"/>
    <n v="5"/>
    <x v="508"/>
    <x v="0"/>
    <x v="0"/>
    <x v="2"/>
    <n v="1"/>
  </r>
  <r>
    <x v="509"/>
    <n v="73"/>
    <x v="2"/>
    <x v="1"/>
    <x v="0"/>
    <x v="2"/>
    <x v="1"/>
    <n v="15"/>
    <x v="509"/>
    <x v="0"/>
    <x v="0"/>
    <x v="1"/>
    <n v="2"/>
  </r>
  <r>
    <x v="510"/>
    <n v="24"/>
    <x v="3"/>
    <x v="1"/>
    <x v="1"/>
    <x v="2"/>
    <x v="1"/>
    <n v="1"/>
    <x v="510"/>
    <x v="1"/>
    <x v="0"/>
    <x v="1"/>
    <n v="5"/>
  </r>
  <r>
    <x v="511"/>
    <n v="64"/>
    <x v="2"/>
    <x v="0"/>
    <x v="0"/>
    <x v="3"/>
    <x v="2"/>
    <n v="1"/>
    <x v="511"/>
    <x v="1"/>
    <x v="2"/>
    <x v="0"/>
    <n v="3"/>
  </r>
  <r>
    <x v="512"/>
    <n v="49"/>
    <x v="0"/>
    <x v="1"/>
    <x v="3"/>
    <x v="4"/>
    <x v="0"/>
    <n v="10"/>
    <x v="512"/>
    <x v="1"/>
    <x v="0"/>
    <x v="0"/>
    <n v="4"/>
  </r>
  <r>
    <x v="513"/>
    <n v="36"/>
    <x v="3"/>
    <x v="1"/>
    <x v="1"/>
    <x v="4"/>
    <x v="0"/>
    <n v="10"/>
    <x v="513"/>
    <x v="1"/>
    <x v="2"/>
    <x v="3"/>
    <n v="2"/>
  </r>
  <r>
    <x v="514"/>
    <n v="82"/>
    <x v="2"/>
    <x v="1"/>
    <x v="2"/>
    <x v="2"/>
    <x v="2"/>
    <n v="15"/>
    <x v="514"/>
    <x v="0"/>
    <x v="2"/>
    <x v="3"/>
    <n v="3"/>
  </r>
  <r>
    <x v="515"/>
    <n v="24"/>
    <x v="3"/>
    <x v="1"/>
    <x v="5"/>
    <x v="3"/>
    <x v="1"/>
    <n v="17"/>
    <x v="515"/>
    <x v="1"/>
    <x v="0"/>
    <x v="2"/>
    <n v="5"/>
  </r>
  <r>
    <x v="516"/>
    <n v="23"/>
    <x v="3"/>
    <x v="1"/>
    <x v="2"/>
    <x v="4"/>
    <x v="2"/>
    <n v="6"/>
    <x v="516"/>
    <x v="1"/>
    <x v="0"/>
    <x v="0"/>
    <n v="3"/>
  </r>
  <r>
    <x v="517"/>
    <n v="62"/>
    <x v="2"/>
    <x v="0"/>
    <x v="4"/>
    <x v="4"/>
    <x v="0"/>
    <n v="3"/>
    <x v="517"/>
    <x v="1"/>
    <x v="0"/>
    <x v="0"/>
    <n v="1"/>
  </r>
  <r>
    <x v="518"/>
    <n v="37"/>
    <x v="3"/>
    <x v="1"/>
    <x v="0"/>
    <x v="4"/>
    <x v="0"/>
    <n v="13"/>
    <x v="518"/>
    <x v="1"/>
    <x v="2"/>
    <x v="0"/>
    <n v="1"/>
  </r>
  <r>
    <x v="519"/>
    <n v="12"/>
    <x v="1"/>
    <x v="1"/>
    <x v="3"/>
    <x v="3"/>
    <x v="2"/>
    <n v="16"/>
    <x v="519"/>
    <x v="1"/>
    <x v="1"/>
    <x v="1"/>
    <n v="2"/>
  </r>
  <r>
    <x v="520"/>
    <n v="55"/>
    <x v="0"/>
    <x v="1"/>
    <x v="1"/>
    <x v="3"/>
    <x v="2"/>
    <n v="8"/>
    <x v="520"/>
    <x v="0"/>
    <x v="0"/>
    <x v="2"/>
    <n v="5"/>
  </r>
  <r>
    <x v="521"/>
    <n v="13"/>
    <x v="1"/>
    <x v="1"/>
    <x v="1"/>
    <x v="2"/>
    <x v="0"/>
    <n v="15"/>
    <x v="521"/>
    <x v="1"/>
    <x v="0"/>
    <x v="3"/>
    <n v="5"/>
  </r>
  <r>
    <x v="522"/>
    <n v="23"/>
    <x v="3"/>
    <x v="0"/>
    <x v="0"/>
    <x v="1"/>
    <x v="2"/>
    <n v="17"/>
    <x v="522"/>
    <x v="0"/>
    <x v="0"/>
    <x v="1"/>
    <n v="3"/>
  </r>
  <r>
    <x v="523"/>
    <n v="89"/>
    <x v="2"/>
    <x v="0"/>
    <x v="3"/>
    <x v="4"/>
    <x v="0"/>
    <n v="17"/>
    <x v="523"/>
    <x v="1"/>
    <x v="2"/>
    <x v="1"/>
    <n v="2"/>
  </r>
  <r>
    <x v="524"/>
    <n v="30"/>
    <x v="3"/>
    <x v="0"/>
    <x v="0"/>
    <x v="1"/>
    <x v="2"/>
    <n v="13"/>
    <x v="524"/>
    <x v="1"/>
    <x v="2"/>
    <x v="1"/>
    <n v="5"/>
  </r>
  <r>
    <x v="525"/>
    <n v="17"/>
    <x v="1"/>
    <x v="0"/>
    <x v="4"/>
    <x v="3"/>
    <x v="2"/>
    <n v="17"/>
    <x v="525"/>
    <x v="1"/>
    <x v="1"/>
    <x v="1"/>
    <n v="1"/>
  </r>
  <r>
    <x v="526"/>
    <n v="62"/>
    <x v="2"/>
    <x v="1"/>
    <x v="2"/>
    <x v="3"/>
    <x v="2"/>
    <n v="6"/>
    <x v="526"/>
    <x v="1"/>
    <x v="0"/>
    <x v="2"/>
    <n v="3"/>
  </r>
  <r>
    <x v="527"/>
    <n v="84"/>
    <x v="2"/>
    <x v="0"/>
    <x v="1"/>
    <x v="3"/>
    <x v="0"/>
    <n v="17"/>
    <x v="527"/>
    <x v="1"/>
    <x v="2"/>
    <x v="0"/>
    <n v="4"/>
  </r>
  <r>
    <x v="528"/>
    <n v="89"/>
    <x v="2"/>
    <x v="1"/>
    <x v="4"/>
    <x v="1"/>
    <x v="2"/>
    <n v="16"/>
    <x v="528"/>
    <x v="1"/>
    <x v="1"/>
    <x v="3"/>
    <n v="1"/>
  </r>
  <r>
    <x v="529"/>
    <n v="86"/>
    <x v="2"/>
    <x v="1"/>
    <x v="2"/>
    <x v="3"/>
    <x v="0"/>
    <n v="14"/>
    <x v="529"/>
    <x v="1"/>
    <x v="0"/>
    <x v="3"/>
    <n v="2"/>
  </r>
  <r>
    <x v="530"/>
    <n v="13"/>
    <x v="1"/>
    <x v="1"/>
    <x v="4"/>
    <x v="2"/>
    <x v="0"/>
    <n v="13"/>
    <x v="530"/>
    <x v="1"/>
    <x v="2"/>
    <x v="1"/>
    <n v="5"/>
  </r>
  <r>
    <x v="531"/>
    <n v="59"/>
    <x v="0"/>
    <x v="1"/>
    <x v="3"/>
    <x v="3"/>
    <x v="2"/>
    <n v="6"/>
    <x v="531"/>
    <x v="0"/>
    <x v="0"/>
    <x v="1"/>
    <n v="1"/>
  </r>
  <r>
    <x v="532"/>
    <n v="19"/>
    <x v="3"/>
    <x v="1"/>
    <x v="1"/>
    <x v="0"/>
    <x v="2"/>
    <n v="3"/>
    <x v="532"/>
    <x v="1"/>
    <x v="0"/>
    <x v="2"/>
    <n v="4"/>
  </r>
  <r>
    <x v="533"/>
    <n v="49"/>
    <x v="0"/>
    <x v="0"/>
    <x v="0"/>
    <x v="1"/>
    <x v="0"/>
    <n v="14"/>
    <x v="533"/>
    <x v="0"/>
    <x v="2"/>
    <x v="1"/>
    <n v="4"/>
  </r>
  <r>
    <x v="534"/>
    <n v="12"/>
    <x v="1"/>
    <x v="0"/>
    <x v="0"/>
    <x v="0"/>
    <x v="0"/>
    <n v="14"/>
    <x v="534"/>
    <x v="1"/>
    <x v="2"/>
    <x v="3"/>
    <n v="2"/>
  </r>
  <r>
    <x v="535"/>
    <n v="61"/>
    <x v="2"/>
    <x v="0"/>
    <x v="2"/>
    <x v="3"/>
    <x v="1"/>
    <n v="15"/>
    <x v="535"/>
    <x v="0"/>
    <x v="2"/>
    <x v="3"/>
    <n v="1"/>
  </r>
  <r>
    <x v="536"/>
    <n v="19"/>
    <x v="3"/>
    <x v="0"/>
    <x v="5"/>
    <x v="2"/>
    <x v="0"/>
    <n v="8"/>
    <x v="536"/>
    <x v="1"/>
    <x v="0"/>
    <x v="0"/>
    <n v="3"/>
  </r>
  <r>
    <x v="537"/>
    <n v="76"/>
    <x v="2"/>
    <x v="1"/>
    <x v="3"/>
    <x v="4"/>
    <x v="1"/>
    <n v="15"/>
    <x v="537"/>
    <x v="1"/>
    <x v="0"/>
    <x v="0"/>
    <n v="1"/>
  </r>
  <r>
    <x v="538"/>
    <n v="9"/>
    <x v="1"/>
    <x v="0"/>
    <x v="2"/>
    <x v="3"/>
    <x v="1"/>
    <n v="13"/>
    <x v="538"/>
    <x v="1"/>
    <x v="1"/>
    <x v="3"/>
    <n v="4"/>
  </r>
  <r>
    <x v="539"/>
    <n v="71"/>
    <x v="2"/>
    <x v="1"/>
    <x v="5"/>
    <x v="2"/>
    <x v="1"/>
    <n v="17"/>
    <x v="539"/>
    <x v="0"/>
    <x v="0"/>
    <x v="3"/>
    <n v="2"/>
  </r>
  <r>
    <x v="540"/>
    <n v="28"/>
    <x v="3"/>
    <x v="0"/>
    <x v="4"/>
    <x v="1"/>
    <x v="2"/>
    <n v="3"/>
    <x v="540"/>
    <x v="0"/>
    <x v="2"/>
    <x v="2"/>
    <n v="2"/>
  </r>
  <r>
    <x v="541"/>
    <n v="78"/>
    <x v="2"/>
    <x v="1"/>
    <x v="3"/>
    <x v="0"/>
    <x v="2"/>
    <n v="6"/>
    <x v="541"/>
    <x v="0"/>
    <x v="0"/>
    <x v="2"/>
    <n v="3"/>
  </r>
  <r>
    <x v="542"/>
    <n v="52"/>
    <x v="0"/>
    <x v="1"/>
    <x v="4"/>
    <x v="0"/>
    <x v="0"/>
    <n v="5"/>
    <x v="542"/>
    <x v="0"/>
    <x v="1"/>
    <x v="3"/>
    <n v="2"/>
  </r>
  <r>
    <x v="543"/>
    <n v="83"/>
    <x v="2"/>
    <x v="0"/>
    <x v="1"/>
    <x v="0"/>
    <x v="1"/>
    <n v="17"/>
    <x v="543"/>
    <x v="1"/>
    <x v="1"/>
    <x v="1"/>
    <n v="2"/>
  </r>
  <r>
    <x v="544"/>
    <n v="16"/>
    <x v="1"/>
    <x v="1"/>
    <x v="3"/>
    <x v="1"/>
    <x v="2"/>
    <n v="2"/>
    <x v="544"/>
    <x v="1"/>
    <x v="2"/>
    <x v="0"/>
    <n v="2"/>
  </r>
  <r>
    <x v="545"/>
    <n v="69"/>
    <x v="2"/>
    <x v="1"/>
    <x v="5"/>
    <x v="2"/>
    <x v="2"/>
    <n v="15"/>
    <x v="545"/>
    <x v="1"/>
    <x v="2"/>
    <x v="3"/>
    <n v="2"/>
  </r>
  <r>
    <x v="546"/>
    <n v="12"/>
    <x v="1"/>
    <x v="0"/>
    <x v="1"/>
    <x v="1"/>
    <x v="2"/>
    <n v="5"/>
    <x v="546"/>
    <x v="0"/>
    <x v="1"/>
    <x v="1"/>
    <n v="2"/>
  </r>
  <r>
    <x v="547"/>
    <n v="25"/>
    <x v="3"/>
    <x v="1"/>
    <x v="0"/>
    <x v="0"/>
    <x v="2"/>
    <n v="6"/>
    <x v="547"/>
    <x v="1"/>
    <x v="1"/>
    <x v="3"/>
    <n v="4"/>
  </r>
  <r>
    <x v="548"/>
    <n v="52"/>
    <x v="0"/>
    <x v="0"/>
    <x v="5"/>
    <x v="3"/>
    <x v="2"/>
    <n v="6"/>
    <x v="548"/>
    <x v="0"/>
    <x v="1"/>
    <x v="0"/>
    <n v="1"/>
  </r>
  <r>
    <x v="549"/>
    <n v="85"/>
    <x v="2"/>
    <x v="0"/>
    <x v="2"/>
    <x v="4"/>
    <x v="1"/>
    <n v="18"/>
    <x v="549"/>
    <x v="0"/>
    <x v="2"/>
    <x v="0"/>
    <n v="5"/>
  </r>
  <r>
    <x v="550"/>
    <n v="53"/>
    <x v="0"/>
    <x v="0"/>
    <x v="0"/>
    <x v="1"/>
    <x v="1"/>
    <n v="18"/>
    <x v="550"/>
    <x v="0"/>
    <x v="1"/>
    <x v="2"/>
    <n v="2"/>
  </r>
  <r>
    <x v="551"/>
    <n v="23"/>
    <x v="3"/>
    <x v="1"/>
    <x v="0"/>
    <x v="1"/>
    <x v="1"/>
    <n v="4"/>
    <x v="551"/>
    <x v="0"/>
    <x v="1"/>
    <x v="2"/>
    <n v="5"/>
  </r>
  <r>
    <x v="552"/>
    <n v="16"/>
    <x v="1"/>
    <x v="1"/>
    <x v="2"/>
    <x v="2"/>
    <x v="1"/>
    <n v="17"/>
    <x v="552"/>
    <x v="0"/>
    <x v="2"/>
    <x v="2"/>
    <n v="5"/>
  </r>
  <r>
    <x v="553"/>
    <n v="57"/>
    <x v="0"/>
    <x v="1"/>
    <x v="3"/>
    <x v="2"/>
    <x v="0"/>
    <n v="14"/>
    <x v="553"/>
    <x v="1"/>
    <x v="0"/>
    <x v="2"/>
    <n v="4"/>
  </r>
  <r>
    <x v="554"/>
    <n v="39"/>
    <x v="3"/>
    <x v="0"/>
    <x v="0"/>
    <x v="1"/>
    <x v="1"/>
    <n v="14"/>
    <x v="554"/>
    <x v="0"/>
    <x v="0"/>
    <x v="0"/>
    <n v="2"/>
  </r>
  <r>
    <x v="555"/>
    <n v="53"/>
    <x v="0"/>
    <x v="1"/>
    <x v="5"/>
    <x v="0"/>
    <x v="2"/>
    <n v="13"/>
    <x v="555"/>
    <x v="0"/>
    <x v="1"/>
    <x v="1"/>
    <n v="5"/>
  </r>
  <r>
    <x v="556"/>
    <n v="42"/>
    <x v="0"/>
    <x v="0"/>
    <x v="1"/>
    <x v="4"/>
    <x v="1"/>
    <n v="7"/>
    <x v="556"/>
    <x v="1"/>
    <x v="0"/>
    <x v="1"/>
    <n v="2"/>
  </r>
  <r>
    <x v="557"/>
    <n v="58"/>
    <x v="0"/>
    <x v="0"/>
    <x v="0"/>
    <x v="2"/>
    <x v="0"/>
    <n v="12"/>
    <x v="557"/>
    <x v="0"/>
    <x v="0"/>
    <x v="1"/>
    <n v="3"/>
  </r>
  <r>
    <x v="558"/>
    <n v="39"/>
    <x v="3"/>
    <x v="1"/>
    <x v="5"/>
    <x v="0"/>
    <x v="2"/>
    <n v="15"/>
    <x v="558"/>
    <x v="0"/>
    <x v="0"/>
    <x v="3"/>
    <n v="3"/>
  </r>
  <r>
    <x v="559"/>
    <n v="14"/>
    <x v="1"/>
    <x v="0"/>
    <x v="4"/>
    <x v="3"/>
    <x v="1"/>
    <n v="19"/>
    <x v="559"/>
    <x v="1"/>
    <x v="0"/>
    <x v="2"/>
    <n v="3"/>
  </r>
  <r>
    <x v="560"/>
    <n v="5"/>
    <x v="1"/>
    <x v="1"/>
    <x v="5"/>
    <x v="2"/>
    <x v="1"/>
    <n v="11"/>
    <x v="560"/>
    <x v="1"/>
    <x v="1"/>
    <x v="2"/>
    <n v="5"/>
  </r>
  <r>
    <x v="561"/>
    <n v="35"/>
    <x v="3"/>
    <x v="1"/>
    <x v="1"/>
    <x v="0"/>
    <x v="1"/>
    <n v="15"/>
    <x v="561"/>
    <x v="1"/>
    <x v="0"/>
    <x v="0"/>
    <n v="3"/>
  </r>
  <r>
    <x v="562"/>
    <n v="87"/>
    <x v="2"/>
    <x v="1"/>
    <x v="5"/>
    <x v="0"/>
    <x v="2"/>
    <n v="12"/>
    <x v="562"/>
    <x v="0"/>
    <x v="0"/>
    <x v="0"/>
    <n v="4"/>
  </r>
  <r>
    <x v="563"/>
    <n v="75"/>
    <x v="2"/>
    <x v="1"/>
    <x v="2"/>
    <x v="4"/>
    <x v="2"/>
    <n v="3"/>
    <x v="563"/>
    <x v="1"/>
    <x v="2"/>
    <x v="3"/>
    <n v="4"/>
  </r>
  <r>
    <x v="564"/>
    <n v="18"/>
    <x v="1"/>
    <x v="1"/>
    <x v="1"/>
    <x v="4"/>
    <x v="0"/>
    <n v="17"/>
    <x v="564"/>
    <x v="1"/>
    <x v="1"/>
    <x v="3"/>
    <n v="5"/>
  </r>
  <r>
    <x v="565"/>
    <n v="76"/>
    <x v="2"/>
    <x v="0"/>
    <x v="3"/>
    <x v="3"/>
    <x v="2"/>
    <n v="3"/>
    <x v="565"/>
    <x v="1"/>
    <x v="2"/>
    <x v="1"/>
    <n v="2"/>
  </r>
  <r>
    <x v="566"/>
    <n v="9"/>
    <x v="1"/>
    <x v="0"/>
    <x v="4"/>
    <x v="0"/>
    <x v="2"/>
    <n v="19"/>
    <x v="566"/>
    <x v="0"/>
    <x v="2"/>
    <x v="0"/>
    <n v="1"/>
  </r>
  <r>
    <x v="567"/>
    <n v="74"/>
    <x v="2"/>
    <x v="0"/>
    <x v="2"/>
    <x v="0"/>
    <x v="1"/>
    <n v="4"/>
    <x v="567"/>
    <x v="1"/>
    <x v="1"/>
    <x v="2"/>
    <n v="2"/>
  </r>
  <r>
    <x v="568"/>
    <n v="58"/>
    <x v="0"/>
    <x v="1"/>
    <x v="3"/>
    <x v="4"/>
    <x v="2"/>
    <n v="3"/>
    <x v="568"/>
    <x v="0"/>
    <x v="0"/>
    <x v="1"/>
    <n v="2"/>
  </r>
  <r>
    <x v="569"/>
    <n v="17"/>
    <x v="1"/>
    <x v="1"/>
    <x v="5"/>
    <x v="2"/>
    <x v="1"/>
    <n v="16"/>
    <x v="569"/>
    <x v="0"/>
    <x v="2"/>
    <x v="2"/>
    <n v="2"/>
  </r>
  <r>
    <x v="570"/>
    <n v="7"/>
    <x v="1"/>
    <x v="1"/>
    <x v="1"/>
    <x v="2"/>
    <x v="1"/>
    <n v="12"/>
    <x v="570"/>
    <x v="1"/>
    <x v="1"/>
    <x v="1"/>
    <n v="2"/>
  </r>
  <r>
    <x v="571"/>
    <n v="46"/>
    <x v="0"/>
    <x v="0"/>
    <x v="4"/>
    <x v="1"/>
    <x v="2"/>
    <n v="8"/>
    <x v="571"/>
    <x v="0"/>
    <x v="0"/>
    <x v="2"/>
    <n v="1"/>
  </r>
  <r>
    <x v="572"/>
    <n v="13"/>
    <x v="1"/>
    <x v="1"/>
    <x v="2"/>
    <x v="4"/>
    <x v="0"/>
    <n v="17"/>
    <x v="572"/>
    <x v="0"/>
    <x v="1"/>
    <x v="3"/>
    <n v="3"/>
  </r>
  <r>
    <x v="573"/>
    <n v="40"/>
    <x v="3"/>
    <x v="0"/>
    <x v="3"/>
    <x v="1"/>
    <x v="0"/>
    <n v="7"/>
    <x v="573"/>
    <x v="1"/>
    <x v="2"/>
    <x v="1"/>
    <n v="2"/>
  </r>
  <r>
    <x v="574"/>
    <n v="42"/>
    <x v="0"/>
    <x v="0"/>
    <x v="3"/>
    <x v="4"/>
    <x v="2"/>
    <n v="11"/>
    <x v="574"/>
    <x v="0"/>
    <x v="0"/>
    <x v="2"/>
    <n v="4"/>
  </r>
  <r>
    <x v="575"/>
    <n v="9"/>
    <x v="1"/>
    <x v="1"/>
    <x v="4"/>
    <x v="3"/>
    <x v="0"/>
    <n v="18"/>
    <x v="575"/>
    <x v="1"/>
    <x v="0"/>
    <x v="2"/>
    <n v="5"/>
  </r>
  <r>
    <x v="576"/>
    <n v="50"/>
    <x v="0"/>
    <x v="1"/>
    <x v="5"/>
    <x v="0"/>
    <x v="1"/>
    <n v="1"/>
    <x v="576"/>
    <x v="0"/>
    <x v="1"/>
    <x v="0"/>
    <n v="5"/>
  </r>
  <r>
    <x v="577"/>
    <n v="27"/>
    <x v="3"/>
    <x v="0"/>
    <x v="4"/>
    <x v="3"/>
    <x v="1"/>
    <n v="3"/>
    <x v="577"/>
    <x v="0"/>
    <x v="0"/>
    <x v="1"/>
    <n v="4"/>
  </r>
  <r>
    <x v="578"/>
    <n v="66"/>
    <x v="2"/>
    <x v="1"/>
    <x v="3"/>
    <x v="4"/>
    <x v="2"/>
    <n v="4"/>
    <x v="578"/>
    <x v="1"/>
    <x v="2"/>
    <x v="2"/>
    <n v="2"/>
  </r>
  <r>
    <x v="579"/>
    <n v="5"/>
    <x v="1"/>
    <x v="0"/>
    <x v="0"/>
    <x v="0"/>
    <x v="0"/>
    <n v="13"/>
    <x v="579"/>
    <x v="1"/>
    <x v="2"/>
    <x v="0"/>
    <n v="1"/>
  </r>
  <r>
    <x v="580"/>
    <n v="29"/>
    <x v="3"/>
    <x v="1"/>
    <x v="2"/>
    <x v="2"/>
    <x v="0"/>
    <n v="6"/>
    <x v="580"/>
    <x v="0"/>
    <x v="2"/>
    <x v="2"/>
    <n v="3"/>
  </r>
  <r>
    <x v="581"/>
    <n v="37"/>
    <x v="3"/>
    <x v="1"/>
    <x v="4"/>
    <x v="2"/>
    <x v="1"/>
    <n v="14"/>
    <x v="581"/>
    <x v="0"/>
    <x v="1"/>
    <x v="1"/>
    <n v="5"/>
  </r>
  <r>
    <x v="582"/>
    <n v="38"/>
    <x v="3"/>
    <x v="0"/>
    <x v="3"/>
    <x v="1"/>
    <x v="2"/>
    <n v="5"/>
    <x v="582"/>
    <x v="1"/>
    <x v="0"/>
    <x v="3"/>
    <n v="3"/>
  </r>
  <r>
    <x v="583"/>
    <n v="83"/>
    <x v="2"/>
    <x v="1"/>
    <x v="5"/>
    <x v="4"/>
    <x v="0"/>
    <n v="16"/>
    <x v="583"/>
    <x v="0"/>
    <x v="0"/>
    <x v="1"/>
    <n v="1"/>
  </r>
  <r>
    <x v="584"/>
    <n v="8"/>
    <x v="1"/>
    <x v="0"/>
    <x v="3"/>
    <x v="4"/>
    <x v="2"/>
    <n v="15"/>
    <x v="584"/>
    <x v="0"/>
    <x v="0"/>
    <x v="1"/>
    <n v="5"/>
  </r>
  <r>
    <x v="585"/>
    <n v="65"/>
    <x v="2"/>
    <x v="1"/>
    <x v="5"/>
    <x v="2"/>
    <x v="0"/>
    <n v="15"/>
    <x v="585"/>
    <x v="0"/>
    <x v="2"/>
    <x v="2"/>
    <n v="3"/>
  </r>
  <r>
    <x v="586"/>
    <n v="86"/>
    <x v="2"/>
    <x v="0"/>
    <x v="4"/>
    <x v="3"/>
    <x v="1"/>
    <n v="4"/>
    <x v="586"/>
    <x v="0"/>
    <x v="0"/>
    <x v="2"/>
    <n v="1"/>
  </r>
  <r>
    <x v="587"/>
    <n v="17"/>
    <x v="1"/>
    <x v="0"/>
    <x v="5"/>
    <x v="0"/>
    <x v="1"/>
    <n v="8"/>
    <x v="587"/>
    <x v="1"/>
    <x v="2"/>
    <x v="1"/>
    <n v="3"/>
  </r>
  <r>
    <x v="588"/>
    <n v="71"/>
    <x v="2"/>
    <x v="1"/>
    <x v="1"/>
    <x v="3"/>
    <x v="2"/>
    <n v="16"/>
    <x v="588"/>
    <x v="1"/>
    <x v="0"/>
    <x v="0"/>
    <n v="2"/>
  </r>
  <r>
    <x v="589"/>
    <n v="89"/>
    <x v="2"/>
    <x v="0"/>
    <x v="1"/>
    <x v="3"/>
    <x v="1"/>
    <n v="16"/>
    <x v="589"/>
    <x v="1"/>
    <x v="2"/>
    <x v="0"/>
    <n v="1"/>
  </r>
  <r>
    <x v="590"/>
    <n v="45"/>
    <x v="0"/>
    <x v="1"/>
    <x v="1"/>
    <x v="2"/>
    <x v="0"/>
    <n v="4"/>
    <x v="590"/>
    <x v="1"/>
    <x v="0"/>
    <x v="0"/>
    <n v="3"/>
  </r>
  <r>
    <x v="591"/>
    <n v="4"/>
    <x v="1"/>
    <x v="1"/>
    <x v="0"/>
    <x v="2"/>
    <x v="1"/>
    <n v="13"/>
    <x v="591"/>
    <x v="1"/>
    <x v="1"/>
    <x v="2"/>
    <n v="2"/>
  </r>
  <r>
    <x v="592"/>
    <n v="36"/>
    <x v="3"/>
    <x v="1"/>
    <x v="4"/>
    <x v="2"/>
    <x v="2"/>
    <n v="13"/>
    <x v="592"/>
    <x v="1"/>
    <x v="1"/>
    <x v="2"/>
    <n v="2"/>
  </r>
  <r>
    <x v="593"/>
    <n v="70"/>
    <x v="2"/>
    <x v="0"/>
    <x v="3"/>
    <x v="1"/>
    <x v="2"/>
    <n v="2"/>
    <x v="593"/>
    <x v="0"/>
    <x v="2"/>
    <x v="1"/>
    <n v="1"/>
  </r>
  <r>
    <x v="594"/>
    <n v="31"/>
    <x v="3"/>
    <x v="0"/>
    <x v="3"/>
    <x v="3"/>
    <x v="2"/>
    <n v="3"/>
    <x v="594"/>
    <x v="1"/>
    <x v="2"/>
    <x v="3"/>
    <n v="4"/>
  </r>
  <r>
    <x v="595"/>
    <n v="19"/>
    <x v="3"/>
    <x v="1"/>
    <x v="0"/>
    <x v="4"/>
    <x v="0"/>
    <n v="8"/>
    <x v="595"/>
    <x v="0"/>
    <x v="0"/>
    <x v="2"/>
    <n v="5"/>
  </r>
  <r>
    <x v="596"/>
    <n v="61"/>
    <x v="2"/>
    <x v="1"/>
    <x v="5"/>
    <x v="0"/>
    <x v="0"/>
    <n v="15"/>
    <x v="596"/>
    <x v="0"/>
    <x v="0"/>
    <x v="1"/>
    <n v="1"/>
  </r>
  <r>
    <x v="597"/>
    <n v="54"/>
    <x v="0"/>
    <x v="0"/>
    <x v="0"/>
    <x v="1"/>
    <x v="0"/>
    <n v="11"/>
    <x v="597"/>
    <x v="0"/>
    <x v="1"/>
    <x v="1"/>
    <n v="2"/>
  </r>
  <r>
    <x v="598"/>
    <n v="39"/>
    <x v="3"/>
    <x v="1"/>
    <x v="5"/>
    <x v="4"/>
    <x v="0"/>
    <n v="9"/>
    <x v="598"/>
    <x v="1"/>
    <x v="0"/>
    <x v="3"/>
    <n v="2"/>
  </r>
  <r>
    <x v="599"/>
    <n v="74"/>
    <x v="2"/>
    <x v="1"/>
    <x v="5"/>
    <x v="3"/>
    <x v="0"/>
    <n v="7"/>
    <x v="599"/>
    <x v="0"/>
    <x v="2"/>
    <x v="0"/>
    <n v="1"/>
  </r>
  <r>
    <x v="600"/>
    <n v="19"/>
    <x v="3"/>
    <x v="0"/>
    <x v="2"/>
    <x v="2"/>
    <x v="1"/>
    <n v="13"/>
    <x v="600"/>
    <x v="1"/>
    <x v="2"/>
    <x v="1"/>
    <n v="4"/>
  </r>
  <r>
    <x v="601"/>
    <n v="39"/>
    <x v="3"/>
    <x v="1"/>
    <x v="3"/>
    <x v="3"/>
    <x v="0"/>
    <n v="2"/>
    <x v="601"/>
    <x v="0"/>
    <x v="2"/>
    <x v="1"/>
    <n v="5"/>
  </r>
  <r>
    <x v="602"/>
    <n v="67"/>
    <x v="2"/>
    <x v="0"/>
    <x v="1"/>
    <x v="0"/>
    <x v="0"/>
    <n v="8"/>
    <x v="602"/>
    <x v="0"/>
    <x v="2"/>
    <x v="1"/>
    <n v="3"/>
  </r>
  <r>
    <x v="603"/>
    <n v="45"/>
    <x v="0"/>
    <x v="1"/>
    <x v="5"/>
    <x v="1"/>
    <x v="1"/>
    <n v="7"/>
    <x v="603"/>
    <x v="1"/>
    <x v="2"/>
    <x v="0"/>
    <n v="1"/>
  </r>
  <r>
    <x v="604"/>
    <n v="13"/>
    <x v="1"/>
    <x v="0"/>
    <x v="2"/>
    <x v="1"/>
    <x v="0"/>
    <n v="12"/>
    <x v="604"/>
    <x v="0"/>
    <x v="1"/>
    <x v="0"/>
    <n v="5"/>
  </r>
  <r>
    <x v="605"/>
    <n v="58"/>
    <x v="0"/>
    <x v="1"/>
    <x v="3"/>
    <x v="0"/>
    <x v="2"/>
    <n v="19"/>
    <x v="605"/>
    <x v="0"/>
    <x v="1"/>
    <x v="3"/>
    <n v="5"/>
  </r>
  <r>
    <x v="606"/>
    <n v="20"/>
    <x v="3"/>
    <x v="1"/>
    <x v="1"/>
    <x v="4"/>
    <x v="0"/>
    <n v="7"/>
    <x v="606"/>
    <x v="0"/>
    <x v="2"/>
    <x v="2"/>
    <n v="2"/>
  </r>
  <r>
    <x v="607"/>
    <n v="72"/>
    <x v="2"/>
    <x v="0"/>
    <x v="5"/>
    <x v="4"/>
    <x v="0"/>
    <n v="10"/>
    <x v="607"/>
    <x v="0"/>
    <x v="0"/>
    <x v="0"/>
    <n v="3"/>
  </r>
  <r>
    <x v="608"/>
    <n v="61"/>
    <x v="2"/>
    <x v="1"/>
    <x v="5"/>
    <x v="1"/>
    <x v="2"/>
    <n v="16"/>
    <x v="608"/>
    <x v="1"/>
    <x v="2"/>
    <x v="2"/>
    <n v="1"/>
  </r>
  <r>
    <x v="609"/>
    <n v="39"/>
    <x v="3"/>
    <x v="0"/>
    <x v="0"/>
    <x v="1"/>
    <x v="2"/>
    <n v="3"/>
    <x v="609"/>
    <x v="0"/>
    <x v="1"/>
    <x v="2"/>
    <n v="2"/>
  </r>
  <r>
    <x v="610"/>
    <n v="1"/>
    <x v="1"/>
    <x v="1"/>
    <x v="0"/>
    <x v="2"/>
    <x v="2"/>
    <n v="10"/>
    <x v="610"/>
    <x v="0"/>
    <x v="2"/>
    <x v="0"/>
    <n v="2"/>
  </r>
  <r>
    <x v="611"/>
    <n v="3"/>
    <x v="1"/>
    <x v="0"/>
    <x v="3"/>
    <x v="4"/>
    <x v="2"/>
    <n v="6"/>
    <x v="611"/>
    <x v="1"/>
    <x v="1"/>
    <x v="1"/>
    <n v="4"/>
  </r>
  <r>
    <x v="612"/>
    <n v="77"/>
    <x v="2"/>
    <x v="0"/>
    <x v="1"/>
    <x v="0"/>
    <x v="0"/>
    <n v="18"/>
    <x v="612"/>
    <x v="0"/>
    <x v="1"/>
    <x v="3"/>
    <n v="5"/>
  </r>
  <r>
    <x v="613"/>
    <n v="62"/>
    <x v="2"/>
    <x v="0"/>
    <x v="5"/>
    <x v="4"/>
    <x v="2"/>
    <n v="18"/>
    <x v="613"/>
    <x v="0"/>
    <x v="2"/>
    <x v="2"/>
    <n v="1"/>
  </r>
  <r>
    <x v="614"/>
    <n v="63"/>
    <x v="2"/>
    <x v="0"/>
    <x v="3"/>
    <x v="2"/>
    <x v="2"/>
    <n v="5"/>
    <x v="614"/>
    <x v="0"/>
    <x v="2"/>
    <x v="1"/>
    <n v="1"/>
  </r>
  <r>
    <x v="615"/>
    <n v="25"/>
    <x v="3"/>
    <x v="1"/>
    <x v="3"/>
    <x v="1"/>
    <x v="1"/>
    <n v="7"/>
    <x v="615"/>
    <x v="0"/>
    <x v="0"/>
    <x v="0"/>
    <n v="1"/>
  </r>
  <r>
    <x v="616"/>
    <n v="56"/>
    <x v="0"/>
    <x v="1"/>
    <x v="4"/>
    <x v="1"/>
    <x v="2"/>
    <n v="2"/>
    <x v="616"/>
    <x v="1"/>
    <x v="1"/>
    <x v="2"/>
    <n v="2"/>
  </r>
  <r>
    <x v="617"/>
    <n v="33"/>
    <x v="3"/>
    <x v="0"/>
    <x v="0"/>
    <x v="2"/>
    <x v="2"/>
    <n v="11"/>
    <x v="617"/>
    <x v="0"/>
    <x v="0"/>
    <x v="2"/>
    <n v="4"/>
  </r>
  <r>
    <x v="618"/>
    <n v="38"/>
    <x v="3"/>
    <x v="0"/>
    <x v="1"/>
    <x v="0"/>
    <x v="1"/>
    <n v="13"/>
    <x v="618"/>
    <x v="1"/>
    <x v="2"/>
    <x v="2"/>
    <n v="3"/>
  </r>
  <r>
    <x v="619"/>
    <n v="6"/>
    <x v="1"/>
    <x v="0"/>
    <x v="5"/>
    <x v="1"/>
    <x v="1"/>
    <n v="5"/>
    <x v="619"/>
    <x v="0"/>
    <x v="1"/>
    <x v="1"/>
    <n v="2"/>
  </r>
  <r>
    <x v="620"/>
    <n v="58"/>
    <x v="0"/>
    <x v="1"/>
    <x v="3"/>
    <x v="3"/>
    <x v="0"/>
    <n v="6"/>
    <x v="620"/>
    <x v="0"/>
    <x v="0"/>
    <x v="1"/>
    <n v="3"/>
  </r>
  <r>
    <x v="621"/>
    <n v="44"/>
    <x v="0"/>
    <x v="1"/>
    <x v="5"/>
    <x v="1"/>
    <x v="1"/>
    <n v="14"/>
    <x v="621"/>
    <x v="0"/>
    <x v="0"/>
    <x v="1"/>
    <n v="4"/>
  </r>
  <r>
    <x v="622"/>
    <n v="45"/>
    <x v="0"/>
    <x v="1"/>
    <x v="4"/>
    <x v="3"/>
    <x v="0"/>
    <n v="12"/>
    <x v="622"/>
    <x v="1"/>
    <x v="0"/>
    <x v="2"/>
    <n v="5"/>
  </r>
  <r>
    <x v="623"/>
    <n v="32"/>
    <x v="3"/>
    <x v="1"/>
    <x v="1"/>
    <x v="2"/>
    <x v="1"/>
    <n v="4"/>
    <x v="623"/>
    <x v="0"/>
    <x v="2"/>
    <x v="2"/>
    <n v="1"/>
  </r>
  <r>
    <x v="624"/>
    <n v="45"/>
    <x v="0"/>
    <x v="0"/>
    <x v="3"/>
    <x v="2"/>
    <x v="1"/>
    <n v="6"/>
    <x v="624"/>
    <x v="0"/>
    <x v="2"/>
    <x v="3"/>
    <n v="3"/>
  </r>
  <r>
    <x v="625"/>
    <n v="61"/>
    <x v="2"/>
    <x v="0"/>
    <x v="5"/>
    <x v="1"/>
    <x v="0"/>
    <n v="10"/>
    <x v="625"/>
    <x v="1"/>
    <x v="2"/>
    <x v="3"/>
    <n v="2"/>
  </r>
  <r>
    <x v="626"/>
    <n v="47"/>
    <x v="0"/>
    <x v="0"/>
    <x v="0"/>
    <x v="4"/>
    <x v="1"/>
    <n v="18"/>
    <x v="626"/>
    <x v="1"/>
    <x v="1"/>
    <x v="1"/>
    <n v="3"/>
  </r>
  <r>
    <x v="627"/>
    <n v="21"/>
    <x v="3"/>
    <x v="1"/>
    <x v="4"/>
    <x v="3"/>
    <x v="0"/>
    <n v="15"/>
    <x v="627"/>
    <x v="1"/>
    <x v="2"/>
    <x v="1"/>
    <n v="5"/>
  </r>
  <r>
    <x v="628"/>
    <n v="80"/>
    <x v="2"/>
    <x v="1"/>
    <x v="1"/>
    <x v="0"/>
    <x v="1"/>
    <n v="8"/>
    <x v="628"/>
    <x v="1"/>
    <x v="1"/>
    <x v="0"/>
    <n v="1"/>
  </r>
  <r>
    <x v="629"/>
    <n v="85"/>
    <x v="2"/>
    <x v="1"/>
    <x v="4"/>
    <x v="1"/>
    <x v="2"/>
    <n v="9"/>
    <x v="629"/>
    <x v="0"/>
    <x v="0"/>
    <x v="1"/>
    <n v="3"/>
  </r>
  <r>
    <x v="630"/>
    <n v="75"/>
    <x v="2"/>
    <x v="0"/>
    <x v="0"/>
    <x v="0"/>
    <x v="1"/>
    <n v="5"/>
    <x v="630"/>
    <x v="0"/>
    <x v="0"/>
    <x v="3"/>
    <n v="5"/>
  </r>
  <r>
    <x v="631"/>
    <n v="36"/>
    <x v="3"/>
    <x v="0"/>
    <x v="1"/>
    <x v="1"/>
    <x v="0"/>
    <n v="10"/>
    <x v="631"/>
    <x v="0"/>
    <x v="2"/>
    <x v="3"/>
    <n v="2"/>
  </r>
  <r>
    <x v="632"/>
    <n v="19"/>
    <x v="3"/>
    <x v="1"/>
    <x v="4"/>
    <x v="4"/>
    <x v="1"/>
    <n v="6"/>
    <x v="632"/>
    <x v="0"/>
    <x v="0"/>
    <x v="3"/>
    <n v="4"/>
  </r>
  <r>
    <x v="633"/>
    <n v="20"/>
    <x v="3"/>
    <x v="0"/>
    <x v="2"/>
    <x v="4"/>
    <x v="0"/>
    <n v="16"/>
    <x v="633"/>
    <x v="1"/>
    <x v="2"/>
    <x v="2"/>
    <n v="2"/>
  </r>
  <r>
    <x v="634"/>
    <n v="57"/>
    <x v="0"/>
    <x v="1"/>
    <x v="0"/>
    <x v="4"/>
    <x v="0"/>
    <n v="3"/>
    <x v="634"/>
    <x v="0"/>
    <x v="1"/>
    <x v="2"/>
    <n v="1"/>
  </r>
  <r>
    <x v="635"/>
    <n v="18"/>
    <x v="1"/>
    <x v="1"/>
    <x v="0"/>
    <x v="4"/>
    <x v="2"/>
    <n v="10"/>
    <x v="635"/>
    <x v="0"/>
    <x v="0"/>
    <x v="1"/>
    <n v="2"/>
  </r>
  <r>
    <x v="636"/>
    <n v="47"/>
    <x v="0"/>
    <x v="0"/>
    <x v="0"/>
    <x v="2"/>
    <x v="2"/>
    <n v="11"/>
    <x v="636"/>
    <x v="0"/>
    <x v="2"/>
    <x v="0"/>
    <n v="2"/>
  </r>
  <r>
    <x v="637"/>
    <n v="49"/>
    <x v="0"/>
    <x v="1"/>
    <x v="2"/>
    <x v="2"/>
    <x v="0"/>
    <n v="11"/>
    <x v="637"/>
    <x v="0"/>
    <x v="0"/>
    <x v="0"/>
    <n v="2"/>
  </r>
  <r>
    <x v="638"/>
    <n v="14"/>
    <x v="1"/>
    <x v="0"/>
    <x v="2"/>
    <x v="3"/>
    <x v="1"/>
    <n v="17"/>
    <x v="638"/>
    <x v="1"/>
    <x v="0"/>
    <x v="0"/>
    <n v="2"/>
  </r>
  <r>
    <x v="639"/>
    <n v="15"/>
    <x v="1"/>
    <x v="1"/>
    <x v="5"/>
    <x v="0"/>
    <x v="0"/>
    <n v="4"/>
    <x v="639"/>
    <x v="0"/>
    <x v="2"/>
    <x v="2"/>
    <n v="1"/>
  </r>
  <r>
    <x v="640"/>
    <n v="31"/>
    <x v="3"/>
    <x v="0"/>
    <x v="3"/>
    <x v="1"/>
    <x v="0"/>
    <n v="4"/>
    <x v="640"/>
    <x v="0"/>
    <x v="0"/>
    <x v="3"/>
    <n v="5"/>
  </r>
  <r>
    <x v="641"/>
    <n v="1"/>
    <x v="1"/>
    <x v="0"/>
    <x v="4"/>
    <x v="1"/>
    <x v="1"/>
    <n v="17"/>
    <x v="641"/>
    <x v="0"/>
    <x v="0"/>
    <x v="3"/>
    <n v="3"/>
  </r>
  <r>
    <x v="642"/>
    <n v="54"/>
    <x v="0"/>
    <x v="0"/>
    <x v="5"/>
    <x v="2"/>
    <x v="1"/>
    <n v="9"/>
    <x v="642"/>
    <x v="1"/>
    <x v="0"/>
    <x v="2"/>
    <n v="4"/>
  </r>
  <r>
    <x v="643"/>
    <n v="3"/>
    <x v="1"/>
    <x v="1"/>
    <x v="4"/>
    <x v="1"/>
    <x v="1"/>
    <n v="19"/>
    <x v="643"/>
    <x v="1"/>
    <x v="0"/>
    <x v="0"/>
    <n v="3"/>
  </r>
  <r>
    <x v="644"/>
    <n v="16"/>
    <x v="1"/>
    <x v="1"/>
    <x v="3"/>
    <x v="2"/>
    <x v="1"/>
    <n v="5"/>
    <x v="644"/>
    <x v="0"/>
    <x v="1"/>
    <x v="0"/>
    <n v="3"/>
  </r>
  <r>
    <x v="645"/>
    <n v="87"/>
    <x v="2"/>
    <x v="0"/>
    <x v="2"/>
    <x v="3"/>
    <x v="0"/>
    <n v="6"/>
    <x v="645"/>
    <x v="0"/>
    <x v="0"/>
    <x v="1"/>
    <n v="4"/>
  </r>
  <r>
    <x v="646"/>
    <n v="57"/>
    <x v="0"/>
    <x v="0"/>
    <x v="3"/>
    <x v="0"/>
    <x v="0"/>
    <n v="3"/>
    <x v="646"/>
    <x v="0"/>
    <x v="0"/>
    <x v="1"/>
    <n v="1"/>
  </r>
  <r>
    <x v="647"/>
    <n v="75"/>
    <x v="2"/>
    <x v="1"/>
    <x v="2"/>
    <x v="3"/>
    <x v="2"/>
    <n v="1"/>
    <x v="647"/>
    <x v="1"/>
    <x v="2"/>
    <x v="0"/>
    <n v="4"/>
  </r>
  <r>
    <x v="648"/>
    <n v="12"/>
    <x v="1"/>
    <x v="1"/>
    <x v="3"/>
    <x v="4"/>
    <x v="0"/>
    <n v="16"/>
    <x v="648"/>
    <x v="0"/>
    <x v="1"/>
    <x v="2"/>
    <n v="1"/>
  </r>
  <r>
    <x v="649"/>
    <n v="74"/>
    <x v="2"/>
    <x v="1"/>
    <x v="5"/>
    <x v="4"/>
    <x v="1"/>
    <n v="11"/>
    <x v="649"/>
    <x v="0"/>
    <x v="2"/>
    <x v="0"/>
    <n v="3"/>
  </r>
  <r>
    <x v="650"/>
    <n v="16"/>
    <x v="1"/>
    <x v="0"/>
    <x v="1"/>
    <x v="4"/>
    <x v="2"/>
    <n v="13"/>
    <x v="650"/>
    <x v="0"/>
    <x v="2"/>
    <x v="1"/>
    <n v="1"/>
  </r>
  <r>
    <x v="651"/>
    <n v="72"/>
    <x v="2"/>
    <x v="1"/>
    <x v="5"/>
    <x v="3"/>
    <x v="1"/>
    <n v="10"/>
    <x v="651"/>
    <x v="1"/>
    <x v="2"/>
    <x v="0"/>
    <n v="5"/>
  </r>
  <r>
    <x v="652"/>
    <n v="76"/>
    <x v="2"/>
    <x v="1"/>
    <x v="4"/>
    <x v="1"/>
    <x v="0"/>
    <n v="3"/>
    <x v="652"/>
    <x v="0"/>
    <x v="1"/>
    <x v="2"/>
    <n v="4"/>
  </r>
  <r>
    <x v="653"/>
    <n v="24"/>
    <x v="3"/>
    <x v="0"/>
    <x v="5"/>
    <x v="0"/>
    <x v="2"/>
    <n v="9"/>
    <x v="653"/>
    <x v="0"/>
    <x v="2"/>
    <x v="3"/>
    <n v="5"/>
  </r>
  <r>
    <x v="654"/>
    <n v="28"/>
    <x v="3"/>
    <x v="1"/>
    <x v="0"/>
    <x v="4"/>
    <x v="1"/>
    <n v="12"/>
    <x v="654"/>
    <x v="1"/>
    <x v="2"/>
    <x v="2"/>
    <n v="3"/>
  </r>
  <r>
    <x v="655"/>
    <n v="8"/>
    <x v="1"/>
    <x v="1"/>
    <x v="4"/>
    <x v="4"/>
    <x v="2"/>
    <n v="14"/>
    <x v="655"/>
    <x v="1"/>
    <x v="2"/>
    <x v="2"/>
    <n v="4"/>
  </r>
  <r>
    <x v="656"/>
    <n v="36"/>
    <x v="3"/>
    <x v="1"/>
    <x v="3"/>
    <x v="4"/>
    <x v="2"/>
    <n v="1"/>
    <x v="656"/>
    <x v="0"/>
    <x v="0"/>
    <x v="1"/>
    <n v="3"/>
  </r>
  <r>
    <x v="657"/>
    <n v="8"/>
    <x v="1"/>
    <x v="0"/>
    <x v="4"/>
    <x v="0"/>
    <x v="0"/>
    <n v="18"/>
    <x v="657"/>
    <x v="1"/>
    <x v="2"/>
    <x v="2"/>
    <n v="5"/>
  </r>
  <r>
    <x v="658"/>
    <n v="58"/>
    <x v="0"/>
    <x v="0"/>
    <x v="1"/>
    <x v="4"/>
    <x v="1"/>
    <n v="17"/>
    <x v="658"/>
    <x v="0"/>
    <x v="1"/>
    <x v="2"/>
    <n v="3"/>
  </r>
  <r>
    <x v="659"/>
    <n v="60"/>
    <x v="0"/>
    <x v="0"/>
    <x v="2"/>
    <x v="0"/>
    <x v="2"/>
    <n v="9"/>
    <x v="659"/>
    <x v="1"/>
    <x v="1"/>
    <x v="1"/>
    <n v="4"/>
  </r>
  <r>
    <x v="660"/>
    <n v="50"/>
    <x v="0"/>
    <x v="0"/>
    <x v="3"/>
    <x v="4"/>
    <x v="2"/>
    <n v="9"/>
    <x v="660"/>
    <x v="1"/>
    <x v="0"/>
    <x v="1"/>
    <n v="4"/>
  </r>
  <r>
    <x v="661"/>
    <n v="28"/>
    <x v="3"/>
    <x v="0"/>
    <x v="4"/>
    <x v="3"/>
    <x v="1"/>
    <n v="10"/>
    <x v="661"/>
    <x v="0"/>
    <x v="1"/>
    <x v="3"/>
    <n v="3"/>
  </r>
  <r>
    <x v="662"/>
    <n v="41"/>
    <x v="0"/>
    <x v="0"/>
    <x v="3"/>
    <x v="3"/>
    <x v="2"/>
    <n v="19"/>
    <x v="662"/>
    <x v="0"/>
    <x v="1"/>
    <x v="0"/>
    <n v="4"/>
  </r>
  <r>
    <x v="663"/>
    <n v="64"/>
    <x v="2"/>
    <x v="0"/>
    <x v="3"/>
    <x v="0"/>
    <x v="2"/>
    <n v="15"/>
    <x v="663"/>
    <x v="0"/>
    <x v="0"/>
    <x v="2"/>
    <n v="4"/>
  </r>
  <r>
    <x v="664"/>
    <n v="27"/>
    <x v="3"/>
    <x v="1"/>
    <x v="3"/>
    <x v="3"/>
    <x v="2"/>
    <n v="5"/>
    <x v="664"/>
    <x v="1"/>
    <x v="2"/>
    <x v="1"/>
    <n v="3"/>
  </r>
  <r>
    <x v="665"/>
    <n v="63"/>
    <x v="2"/>
    <x v="1"/>
    <x v="2"/>
    <x v="0"/>
    <x v="1"/>
    <n v="15"/>
    <x v="665"/>
    <x v="0"/>
    <x v="0"/>
    <x v="3"/>
    <n v="5"/>
  </r>
  <r>
    <x v="666"/>
    <n v="17"/>
    <x v="1"/>
    <x v="0"/>
    <x v="5"/>
    <x v="3"/>
    <x v="1"/>
    <n v="2"/>
    <x v="666"/>
    <x v="0"/>
    <x v="2"/>
    <x v="0"/>
    <n v="4"/>
  </r>
  <r>
    <x v="667"/>
    <n v="73"/>
    <x v="2"/>
    <x v="1"/>
    <x v="3"/>
    <x v="3"/>
    <x v="1"/>
    <n v="13"/>
    <x v="667"/>
    <x v="0"/>
    <x v="2"/>
    <x v="1"/>
    <n v="4"/>
  </r>
  <r>
    <x v="668"/>
    <n v="33"/>
    <x v="3"/>
    <x v="1"/>
    <x v="0"/>
    <x v="0"/>
    <x v="1"/>
    <n v="16"/>
    <x v="668"/>
    <x v="0"/>
    <x v="1"/>
    <x v="0"/>
    <n v="4"/>
  </r>
  <r>
    <x v="669"/>
    <n v="84"/>
    <x v="2"/>
    <x v="0"/>
    <x v="1"/>
    <x v="1"/>
    <x v="0"/>
    <n v="15"/>
    <x v="669"/>
    <x v="0"/>
    <x v="0"/>
    <x v="0"/>
    <n v="4"/>
  </r>
  <r>
    <x v="670"/>
    <n v="77"/>
    <x v="2"/>
    <x v="1"/>
    <x v="2"/>
    <x v="3"/>
    <x v="2"/>
    <n v="10"/>
    <x v="670"/>
    <x v="1"/>
    <x v="1"/>
    <x v="2"/>
    <n v="3"/>
  </r>
  <r>
    <x v="671"/>
    <n v="29"/>
    <x v="3"/>
    <x v="1"/>
    <x v="4"/>
    <x v="4"/>
    <x v="1"/>
    <n v="14"/>
    <x v="671"/>
    <x v="0"/>
    <x v="1"/>
    <x v="2"/>
    <n v="5"/>
  </r>
  <r>
    <x v="672"/>
    <n v="13"/>
    <x v="1"/>
    <x v="1"/>
    <x v="2"/>
    <x v="1"/>
    <x v="2"/>
    <n v="10"/>
    <x v="672"/>
    <x v="0"/>
    <x v="2"/>
    <x v="1"/>
    <n v="5"/>
  </r>
  <r>
    <x v="673"/>
    <n v="46"/>
    <x v="0"/>
    <x v="1"/>
    <x v="4"/>
    <x v="0"/>
    <x v="2"/>
    <n v="14"/>
    <x v="673"/>
    <x v="1"/>
    <x v="1"/>
    <x v="0"/>
    <n v="1"/>
  </r>
  <r>
    <x v="674"/>
    <n v="35"/>
    <x v="3"/>
    <x v="1"/>
    <x v="2"/>
    <x v="1"/>
    <x v="0"/>
    <n v="9"/>
    <x v="674"/>
    <x v="0"/>
    <x v="0"/>
    <x v="1"/>
    <n v="4"/>
  </r>
  <r>
    <x v="675"/>
    <n v="6"/>
    <x v="1"/>
    <x v="0"/>
    <x v="4"/>
    <x v="2"/>
    <x v="1"/>
    <n v="14"/>
    <x v="675"/>
    <x v="0"/>
    <x v="1"/>
    <x v="1"/>
    <n v="4"/>
  </r>
  <r>
    <x v="676"/>
    <n v="82"/>
    <x v="2"/>
    <x v="0"/>
    <x v="3"/>
    <x v="2"/>
    <x v="1"/>
    <n v="3"/>
    <x v="676"/>
    <x v="0"/>
    <x v="1"/>
    <x v="0"/>
    <n v="1"/>
  </r>
  <r>
    <x v="677"/>
    <n v="69"/>
    <x v="2"/>
    <x v="0"/>
    <x v="5"/>
    <x v="3"/>
    <x v="2"/>
    <n v="16"/>
    <x v="677"/>
    <x v="0"/>
    <x v="2"/>
    <x v="1"/>
    <n v="5"/>
  </r>
  <r>
    <x v="678"/>
    <n v="47"/>
    <x v="0"/>
    <x v="1"/>
    <x v="4"/>
    <x v="3"/>
    <x v="1"/>
    <n v="2"/>
    <x v="678"/>
    <x v="0"/>
    <x v="0"/>
    <x v="0"/>
    <n v="2"/>
  </r>
  <r>
    <x v="679"/>
    <n v="25"/>
    <x v="3"/>
    <x v="0"/>
    <x v="4"/>
    <x v="4"/>
    <x v="2"/>
    <n v="10"/>
    <x v="679"/>
    <x v="1"/>
    <x v="1"/>
    <x v="0"/>
    <n v="2"/>
  </r>
  <r>
    <x v="680"/>
    <n v="66"/>
    <x v="2"/>
    <x v="1"/>
    <x v="0"/>
    <x v="1"/>
    <x v="2"/>
    <n v="3"/>
    <x v="680"/>
    <x v="1"/>
    <x v="2"/>
    <x v="0"/>
    <n v="5"/>
  </r>
  <r>
    <x v="681"/>
    <n v="10"/>
    <x v="1"/>
    <x v="1"/>
    <x v="4"/>
    <x v="2"/>
    <x v="0"/>
    <n v="11"/>
    <x v="681"/>
    <x v="1"/>
    <x v="1"/>
    <x v="0"/>
    <n v="4"/>
  </r>
  <r>
    <x v="682"/>
    <n v="56"/>
    <x v="0"/>
    <x v="1"/>
    <x v="0"/>
    <x v="3"/>
    <x v="0"/>
    <n v="11"/>
    <x v="682"/>
    <x v="0"/>
    <x v="0"/>
    <x v="3"/>
    <n v="2"/>
  </r>
  <r>
    <x v="683"/>
    <n v="30"/>
    <x v="3"/>
    <x v="1"/>
    <x v="1"/>
    <x v="1"/>
    <x v="0"/>
    <n v="13"/>
    <x v="683"/>
    <x v="1"/>
    <x v="1"/>
    <x v="0"/>
    <n v="3"/>
  </r>
  <r>
    <x v="684"/>
    <n v="5"/>
    <x v="1"/>
    <x v="0"/>
    <x v="3"/>
    <x v="3"/>
    <x v="2"/>
    <n v="7"/>
    <x v="684"/>
    <x v="0"/>
    <x v="1"/>
    <x v="2"/>
    <n v="3"/>
  </r>
  <r>
    <x v="685"/>
    <n v="33"/>
    <x v="3"/>
    <x v="0"/>
    <x v="0"/>
    <x v="3"/>
    <x v="1"/>
    <n v="17"/>
    <x v="685"/>
    <x v="0"/>
    <x v="2"/>
    <x v="2"/>
    <n v="1"/>
  </r>
  <r>
    <x v="686"/>
    <n v="65"/>
    <x v="2"/>
    <x v="1"/>
    <x v="5"/>
    <x v="2"/>
    <x v="0"/>
    <n v="2"/>
    <x v="686"/>
    <x v="0"/>
    <x v="1"/>
    <x v="2"/>
    <n v="5"/>
  </r>
  <r>
    <x v="687"/>
    <n v="18"/>
    <x v="1"/>
    <x v="0"/>
    <x v="3"/>
    <x v="2"/>
    <x v="1"/>
    <n v="12"/>
    <x v="687"/>
    <x v="1"/>
    <x v="2"/>
    <x v="0"/>
    <n v="5"/>
  </r>
  <r>
    <x v="688"/>
    <n v="49"/>
    <x v="0"/>
    <x v="1"/>
    <x v="0"/>
    <x v="3"/>
    <x v="0"/>
    <n v="10"/>
    <x v="688"/>
    <x v="1"/>
    <x v="0"/>
    <x v="2"/>
    <n v="2"/>
  </r>
  <r>
    <x v="689"/>
    <n v="11"/>
    <x v="1"/>
    <x v="0"/>
    <x v="3"/>
    <x v="0"/>
    <x v="0"/>
    <n v="18"/>
    <x v="689"/>
    <x v="1"/>
    <x v="1"/>
    <x v="3"/>
    <n v="4"/>
  </r>
  <r>
    <x v="690"/>
    <n v="85"/>
    <x v="2"/>
    <x v="0"/>
    <x v="3"/>
    <x v="3"/>
    <x v="2"/>
    <n v="11"/>
    <x v="690"/>
    <x v="0"/>
    <x v="0"/>
    <x v="1"/>
    <n v="5"/>
  </r>
  <r>
    <x v="691"/>
    <n v="26"/>
    <x v="3"/>
    <x v="1"/>
    <x v="3"/>
    <x v="3"/>
    <x v="0"/>
    <n v="16"/>
    <x v="691"/>
    <x v="1"/>
    <x v="0"/>
    <x v="0"/>
    <n v="2"/>
  </r>
  <r>
    <x v="692"/>
    <n v="63"/>
    <x v="2"/>
    <x v="0"/>
    <x v="1"/>
    <x v="4"/>
    <x v="0"/>
    <n v="17"/>
    <x v="692"/>
    <x v="0"/>
    <x v="1"/>
    <x v="2"/>
    <n v="2"/>
  </r>
  <r>
    <x v="693"/>
    <n v="89"/>
    <x v="2"/>
    <x v="1"/>
    <x v="5"/>
    <x v="4"/>
    <x v="2"/>
    <n v="19"/>
    <x v="693"/>
    <x v="1"/>
    <x v="2"/>
    <x v="3"/>
    <n v="5"/>
  </r>
  <r>
    <x v="694"/>
    <n v="86"/>
    <x v="2"/>
    <x v="0"/>
    <x v="2"/>
    <x v="4"/>
    <x v="1"/>
    <n v="18"/>
    <x v="694"/>
    <x v="1"/>
    <x v="0"/>
    <x v="1"/>
    <n v="2"/>
  </r>
  <r>
    <x v="695"/>
    <n v="59"/>
    <x v="0"/>
    <x v="1"/>
    <x v="2"/>
    <x v="0"/>
    <x v="0"/>
    <n v="3"/>
    <x v="695"/>
    <x v="0"/>
    <x v="0"/>
    <x v="3"/>
    <n v="1"/>
  </r>
  <r>
    <x v="696"/>
    <n v="27"/>
    <x v="3"/>
    <x v="1"/>
    <x v="0"/>
    <x v="0"/>
    <x v="2"/>
    <n v="16"/>
    <x v="696"/>
    <x v="0"/>
    <x v="1"/>
    <x v="2"/>
    <n v="1"/>
  </r>
  <r>
    <x v="697"/>
    <n v="49"/>
    <x v="0"/>
    <x v="0"/>
    <x v="3"/>
    <x v="3"/>
    <x v="0"/>
    <n v="6"/>
    <x v="697"/>
    <x v="1"/>
    <x v="1"/>
    <x v="3"/>
    <n v="5"/>
  </r>
  <r>
    <x v="698"/>
    <n v="77"/>
    <x v="2"/>
    <x v="0"/>
    <x v="0"/>
    <x v="4"/>
    <x v="2"/>
    <n v="12"/>
    <x v="698"/>
    <x v="1"/>
    <x v="1"/>
    <x v="1"/>
    <n v="4"/>
  </r>
  <r>
    <x v="699"/>
    <n v="33"/>
    <x v="3"/>
    <x v="1"/>
    <x v="1"/>
    <x v="0"/>
    <x v="1"/>
    <n v="11"/>
    <x v="699"/>
    <x v="1"/>
    <x v="1"/>
    <x v="2"/>
    <n v="1"/>
  </r>
  <r>
    <x v="700"/>
    <n v="1"/>
    <x v="1"/>
    <x v="0"/>
    <x v="1"/>
    <x v="2"/>
    <x v="1"/>
    <n v="15"/>
    <x v="700"/>
    <x v="0"/>
    <x v="1"/>
    <x v="1"/>
    <n v="1"/>
  </r>
  <r>
    <x v="701"/>
    <n v="21"/>
    <x v="3"/>
    <x v="0"/>
    <x v="4"/>
    <x v="3"/>
    <x v="2"/>
    <n v="15"/>
    <x v="701"/>
    <x v="0"/>
    <x v="1"/>
    <x v="3"/>
    <n v="5"/>
  </r>
  <r>
    <x v="702"/>
    <n v="55"/>
    <x v="0"/>
    <x v="1"/>
    <x v="1"/>
    <x v="1"/>
    <x v="2"/>
    <n v="16"/>
    <x v="702"/>
    <x v="1"/>
    <x v="2"/>
    <x v="0"/>
    <n v="3"/>
  </r>
  <r>
    <x v="703"/>
    <n v="6"/>
    <x v="1"/>
    <x v="1"/>
    <x v="4"/>
    <x v="3"/>
    <x v="2"/>
    <n v="10"/>
    <x v="703"/>
    <x v="1"/>
    <x v="0"/>
    <x v="0"/>
    <n v="2"/>
  </r>
  <r>
    <x v="704"/>
    <n v="81"/>
    <x v="2"/>
    <x v="0"/>
    <x v="5"/>
    <x v="1"/>
    <x v="1"/>
    <n v="12"/>
    <x v="704"/>
    <x v="0"/>
    <x v="2"/>
    <x v="0"/>
    <n v="1"/>
  </r>
  <r>
    <x v="705"/>
    <n v="69"/>
    <x v="2"/>
    <x v="1"/>
    <x v="0"/>
    <x v="4"/>
    <x v="0"/>
    <n v="13"/>
    <x v="705"/>
    <x v="1"/>
    <x v="2"/>
    <x v="0"/>
    <n v="3"/>
  </r>
  <r>
    <x v="706"/>
    <n v="5"/>
    <x v="1"/>
    <x v="1"/>
    <x v="5"/>
    <x v="1"/>
    <x v="1"/>
    <n v="4"/>
    <x v="706"/>
    <x v="0"/>
    <x v="1"/>
    <x v="1"/>
    <n v="4"/>
  </r>
  <r>
    <x v="707"/>
    <n v="3"/>
    <x v="1"/>
    <x v="1"/>
    <x v="1"/>
    <x v="4"/>
    <x v="2"/>
    <n v="7"/>
    <x v="707"/>
    <x v="0"/>
    <x v="0"/>
    <x v="0"/>
    <n v="3"/>
  </r>
  <r>
    <x v="708"/>
    <n v="53"/>
    <x v="0"/>
    <x v="0"/>
    <x v="5"/>
    <x v="2"/>
    <x v="2"/>
    <n v="2"/>
    <x v="708"/>
    <x v="0"/>
    <x v="2"/>
    <x v="1"/>
    <n v="5"/>
  </r>
  <r>
    <x v="709"/>
    <n v="23"/>
    <x v="3"/>
    <x v="0"/>
    <x v="5"/>
    <x v="1"/>
    <x v="1"/>
    <n v="15"/>
    <x v="709"/>
    <x v="0"/>
    <x v="1"/>
    <x v="2"/>
    <n v="4"/>
  </r>
  <r>
    <x v="710"/>
    <n v="53"/>
    <x v="0"/>
    <x v="1"/>
    <x v="5"/>
    <x v="3"/>
    <x v="2"/>
    <n v="8"/>
    <x v="710"/>
    <x v="0"/>
    <x v="1"/>
    <x v="0"/>
    <n v="4"/>
  </r>
  <r>
    <x v="711"/>
    <n v="37"/>
    <x v="3"/>
    <x v="0"/>
    <x v="1"/>
    <x v="4"/>
    <x v="1"/>
    <n v="7"/>
    <x v="711"/>
    <x v="0"/>
    <x v="0"/>
    <x v="1"/>
    <n v="3"/>
  </r>
  <r>
    <x v="712"/>
    <n v="74"/>
    <x v="2"/>
    <x v="1"/>
    <x v="3"/>
    <x v="3"/>
    <x v="2"/>
    <n v="15"/>
    <x v="712"/>
    <x v="1"/>
    <x v="2"/>
    <x v="0"/>
    <n v="5"/>
  </r>
  <r>
    <x v="713"/>
    <n v="74"/>
    <x v="2"/>
    <x v="0"/>
    <x v="5"/>
    <x v="0"/>
    <x v="0"/>
    <n v="14"/>
    <x v="713"/>
    <x v="0"/>
    <x v="2"/>
    <x v="0"/>
    <n v="1"/>
  </r>
  <r>
    <x v="714"/>
    <n v="83"/>
    <x v="2"/>
    <x v="1"/>
    <x v="4"/>
    <x v="4"/>
    <x v="0"/>
    <n v="8"/>
    <x v="714"/>
    <x v="0"/>
    <x v="2"/>
    <x v="0"/>
    <n v="3"/>
  </r>
  <r>
    <x v="715"/>
    <n v="17"/>
    <x v="1"/>
    <x v="1"/>
    <x v="1"/>
    <x v="1"/>
    <x v="2"/>
    <n v="12"/>
    <x v="715"/>
    <x v="1"/>
    <x v="1"/>
    <x v="1"/>
    <n v="1"/>
  </r>
  <r>
    <x v="716"/>
    <n v="85"/>
    <x v="2"/>
    <x v="0"/>
    <x v="5"/>
    <x v="4"/>
    <x v="1"/>
    <n v="13"/>
    <x v="716"/>
    <x v="0"/>
    <x v="0"/>
    <x v="3"/>
    <n v="3"/>
  </r>
  <r>
    <x v="717"/>
    <n v="78"/>
    <x v="2"/>
    <x v="1"/>
    <x v="3"/>
    <x v="3"/>
    <x v="0"/>
    <n v="11"/>
    <x v="717"/>
    <x v="1"/>
    <x v="0"/>
    <x v="0"/>
    <n v="1"/>
  </r>
  <r>
    <x v="718"/>
    <n v="73"/>
    <x v="2"/>
    <x v="0"/>
    <x v="1"/>
    <x v="2"/>
    <x v="1"/>
    <n v="17"/>
    <x v="718"/>
    <x v="0"/>
    <x v="2"/>
    <x v="0"/>
    <n v="3"/>
  </r>
  <r>
    <x v="719"/>
    <n v="1"/>
    <x v="1"/>
    <x v="0"/>
    <x v="2"/>
    <x v="4"/>
    <x v="2"/>
    <n v="17"/>
    <x v="719"/>
    <x v="1"/>
    <x v="1"/>
    <x v="2"/>
    <n v="4"/>
  </r>
  <r>
    <x v="720"/>
    <n v="51"/>
    <x v="0"/>
    <x v="1"/>
    <x v="3"/>
    <x v="1"/>
    <x v="1"/>
    <n v="4"/>
    <x v="720"/>
    <x v="1"/>
    <x v="2"/>
    <x v="3"/>
    <n v="2"/>
  </r>
  <r>
    <x v="721"/>
    <n v="45"/>
    <x v="0"/>
    <x v="1"/>
    <x v="4"/>
    <x v="0"/>
    <x v="0"/>
    <n v="8"/>
    <x v="721"/>
    <x v="0"/>
    <x v="0"/>
    <x v="1"/>
    <n v="4"/>
  </r>
  <r>
    <x v="722"/>
    <n v="77"/>
    <x v="2"/>
    <x v="0"/>
    <x v="5"/>
    <x v="2"/>
    <x v="1"/>
    <n v="5"/>
    <x v="722"/>
    <x v="0"/>
    <x v="1"/>
    <x v="2"/>
    <n v="1"/>
  </r>
  <r>
    <x v="723"/>
    <n v="4"/>
    <x v="1"/>
    <x v="1"/>
    <x v="2"/>
    <x v="0"/>
    <x v="1"/>
    <n v="16"/>
    <x v="723"/>
    <x v="0"/>
    <x v="2"/>
    <x v="0"/>
    <n v="5"/>
  </r>
  <r>
    <x v="724"/>
    <n v="62"/>
    <x v="2"/>
    <x v="1"/>
    <x v="2"/>
    <x v="4"/>
    <x v="2"/>
    <n v="4"/>
    <x v="724"/>
    <x v="0"/>
    <x v="2"/>
    <x v="2"/>
    <n v="4"/>
  </r>
  <r>
    <x v="725"/>
    <n v="65"/>
    <x v="2"/>
    <x v="1"/>
    <x v="1"/>
    <x v="3"/>
    <x v="2"/>
    <n v="15"/>
    <x v="725"/>
    <x v="1"/>
    <x v="1"/>
    <x v="2"/>
    <n v="2"/>
  </r>
  <r>
    <x v="726"/>
    <n v="32"/>
    <x v="3"/>
    <x v="1"/>
    <x v="2"/>
    <x v="3"/>
    <x v="2"/>
    <n v="12"/>
    <x v="726"/>
    <x v="1"/>
    <x v="0"/>
    <x v="0"/>
    <n v="1"/>
  </r>
  <r>
    <x v="727"/>
    <n v="34"/>
    <x v="3"/>
    <x v="1"/>
    <x v="4"/>
    <x v="1"/>
    <x v="0"/>
    <n v="5"/>
    <x v="727"/>
    <x v="1"/>
    <x v="1"/>
    <x v="3"/>
    <n v="4"/>
  </r>
  <r>
    <x v="728"/>
    <n v="72"/>
    <x v="2"/>
    <x v="0"/>
    <x v="4"/>
    <x v="3"/>
    <x v="0"/>
    <n v="16"/>
    <x v="728"/>
    <x v="0"/>
    <x v="2"/>
    <x v="3"/>
    <n v="3"/>
  </r>
  <r>
    <x v="729"/>
    <n v="39"/>
    <x v="3"/>
    <x v="0"/>
    <x v="0"/>
    <x v="2"/>
    <x v="2"/>
    <n v="14"/>
    <x v="729"/>
    <x v="1"/>
    <x v="2"/>
    <x v="2"/>
    <n v="5"/>
  </r>
  <r>
    <x v="730"/>
    <n v="26"/>
    <x v="3"/>
    <x v="1"/>
    <x v="4"/>
    <x v="3"/>
    <x v="2"/>
    <n v="10"/>
    <x v="730"/>
    <x v="0"/>
    <x v="2"/>
    <x v="0"/>
    <n v="1"/>
  </r>
  <r>
    <x v="731"/>
    <n v="34"/>
    <x v="3"/>
    <x v="1"/>
    <x v="3"/>
    <x v="1"/>
    <x v="0"/>
    <n v="7"/>
    <x v="731"/>
    <x v="0"/>
    <x v="2"/>
    <x v="1"/>
    <n v="4"/>
  </r>
  <r>
    <x v="732"/>
    <n v="54"/>
    <x v="0"/>
    <x v="1"/>
    <x v="2"/>
    <x v="4"/>
    <x v="0"/>
    <n v="13"/>
    <x v="732"/>
    <x v="1"/>
    <x v="0"/>
    <x v="2"/>
    <n v="1"/>
  </r>
  <r>
    <x v="733"/>
    <n v="3"/>
    <x v="1"/>
    <x v="0"/>
    <x v="4"/>
    <x v="4"/>
    <x v="0"/>
    <n v="5"/>
    <x v="733"/>
    <x v="0"/>
    <x v="0"/>
    <x v="1"/>
    <n v="3"/>
  </r>
  <r>
    <x v="734"/>
    <n v="50"/>
    <x v="0"/>
    <x v="1"/>
    <x v="1"/>
    <x v="3"/>
    <x v="0"/>
    <n v="3"/>
    <x v="734"/>
    <x v="1"/>
    <x v="2"/>
    <x v="2"/>
    <n v="2"/>
  </r>
  <r>
    <x v="735"/>
    <n v="12"/>
    <x v="1"/>
    <x v="0"/>
    <x v="0"/>
    <x v="0"/>
    <x v="2"/>
    <n v="15"/>
    <x v="735"/>
    <x v="0"/>
    <x v="0"/>
    <x v="2"/>
    <n v="4"/>
  </r>
  <r>
    <x v="736"/>
    <n v="65"/>
    <x v="2"/>
    <x v="0"/>
    <x v="2"/>
    <x v="4"/>
    <x v="0"/>
    <n v="4"/>
    <x v="736"/>
    <x v="1"/>
    <x v="0"/>
    <x v="0"/>
    <n v="1"/>
  </r>
  <r>
    <x v="737"/>
    <n v="54"/>
    <x v="0"/>
    <x v="0"/>
    <x v="0"/>
    <x v="3"/>
    <x v="2"/>
    <n v="15"/>
    <x v="737"/>
    <x v="0"/>
    <x v="0"/>
    <x v="0"/>
    <n v="1"/>
  </r>
  <r>
    <x v="738"/>
    <n v="5"/>
    <x v="1"/>
    <x v="1"/>
    <x v="2"/>
    <x v="1"/>
    <x v="1"/>
    <n v="14"/>
    <x v="738"/>
    <x v="1"/>
    <x v="2"/>
    <x v="1"/>
    <n v="1"/>
  </r>
  <r>
    <x v="739"/>
    <n v="57"/>
    <x v="0"/>
    <x v="0"/>
    <x v="1"/>
    <x v="3"/>
    <x v="1"/>
    <n v="19"/>
    <x v="739"/>
    <x v="1"/>
    <x v="1"/>
    <x v="1"/>
    <n v="2"/>
  </r>
  <r>
    <x v="740"/>
    <n v="17"/>
    <x v="1"/>
    <x v="1"/>
    <x v="0"/>
    <x v="4"/>
    <x v="0"/>
    <n v="13"/>
    <x v="740"/>
    <x v="0"/>
    <x v="1"/>
    <x v="3"/>
    <n v="1"/>
  </r>
  <r>
    <x v="741"/>
    <n v="47"/>
    <x v="0"/>
    <x v="0"/>
    <x v="5"/>
    <x v="1"/>
    <x v="1"/>
    <n v="10"/>
    <x v="741"/>
    <x v="0"/>
    <x v="1"/>
    <x v="0"/>
    <n v="5"/>
  </r>
  <r>
    <x v="742"/>
    <n v="23"/>
    <x v="3"/>
    <x v="1"/>
    <x v="3"/>
    <x v="3"/>
    <x v="1"/>
    <n v="5"/>
    <x v="742"/>
    <x v="1"/>
    <x v="2"/>
    <x v="2"/>
    <n v="5"/>
  </r>
  <r>
    <x v="743"/>
    <n v="79"/>
    <x v="2"/>
    <x v="0"/>
    <x v="3"/>
    <x v="2"/>
    <x v="1"/>
    <n v="6"/>
    <x v="743"/>
    <x v="0"/>
    <x v="0"/>
    <x v="2"/>
    <n v="1"/>
  </r>
  <r>
    <x v="744"/>
    <n v="85"/>
    <x v="2"/>
    <x v="1"/>
    <x v="2"/>
    <x v="1"/>
    <x v="0"/>
    <n v="4"/>
    <x v="744"/>
    <x v="0"/>
    <x v="0"/>
    <x v="3"/>
    <n v="5"/>
  </r>
  <r>
    <x v="745"/>
    <n v="14"/>
    <x v="1"/>
    <x v="0"/>
    <x v="5"/>
    <x v="2"/>
    <x v="0"/>
    <n v="2"/>
    <x v="745"/>
    <x v="0"/>
    <x v="2"/>
    <x v="0"/>
    <n v="4"/>
  </r>
  <r>
    <x v="746"/>
    <n v="66"/>
    <x v="2"/>
    <x v="1"/>
    <x v="0"/>
    <x v="0"/>
    <x v="1"/>
    <n v="16"/>
    <x v="746"/>
    <x v="1"/>
    <x v="2"/>
    <x v="2"/>
    <n v="5"/>
  </r>
  <r>
    <x v="747"/>
    <n v="75"/>
    <x v="2"/>
    <x v="1"/>
    <x v="5"/>
    <x v="1"/>
    <x v="2"/>
    <n v="18"/>
    <x v="747"/>
    <x v="1"/>
    <x v="1"/>
    <x v="3"/>
    <n v="1"/>
  </r>
  <r>
    <x v="748"/>
    <n v="51"/>
    <x v="0"/>
    <x v="1"/>
    <x v="5"/>
    <x v="2"/>
    <x v="1"/>
    <n v="5"/>
    <x v="748"/>
    <x v="0"/>
    <x v="1"/>
    <x v="3"/>
    <n v="3"/>
  </r>
  <r>
    <x v="749"/>
    <n v="38"/>
    <x v="3"/>
    <x v="1"/>
    <x v="0"/>
    <x v="4"/>
    <x v="0"/>
    <n v="4"/>
    <x v="749"/>
    <x v="0"/>
    <x v="2"/>
    <x v="2"/>
    <n v="4"/>
  </r>
  <r>
    <x v="750"/>
    <n v="64"/>
    <x v="2"/>
    <x v="0"/>
    <x v="1"/>
    <x v="4"/>
    <x v="0"/>
    <n v="13"/>
    <x v="750"/>
    <x v="1"/>
    <x v="1"/>
    <x v="2"/>
    <n v="2"/>
  </r>
  <r>
    <x v="751"/>
    <n v="38"/>
    <x v="3"/>
    <x v="0"/>
    <x v="5"/>
    <x v="0"/>
    <x v="0"/>
    <n v="19"/>
    <x v="751"/>
    <x v="0"/>
    <x v="0"/>
    <x v="1"/>
    <n v="1"/>
  </r>
  <r>
    <x v="752"/>
    <n v="50"/>
    <x v="0"/>
    <x v="1"/>
    <x v="5"/>
    <x v="1"/>
    <x v="1"/>
    <n v="2"/>
    <x v="752"/>
    <x v="1"/>
    <x v="2"/>
    <x v="0"/>
    <n v="2"/>
  </r>
  <r>
    <x v="753"/>
    <n v="82"/>
    <x v="2"/>
    <x v="0"/>
    <x v="1"/>
    <x v="1"/>
    <x v="2"/>
    <n v="13"/>
    <x v="753"/>
    <x v="0"/>
    <x v="2"/>
    <x v="1"/>
    <n v="3"/>
  </r>
  <r>
    <x v="754"/>
    <n v="30"/>
    <x v="3"/>
    <x v="1"/>
    <x v="5"/>
    <x v="1"/>
    <x v="0"/>
    <n v="11"/>
    <x v="754"/>
    <x v="0"/>
    <x v="0"/>
    <x v="3"/>
    <n v="2"/>
  </r>
  <r>
    <x v="755"/>
    <n v="79"/>
    <x v="2"/>
    <x v="1"/>
    <x v="5"/>
    <x v="0"/>
    <x v="0"/>
    <n v="4"/>
    <x v="755"/>
    <x v="0"/>
    <x v="0"/>
    <x v="2"/>
    <n v="1"/>
  </r>
  <r>
    <x v="756"/>
    <n v="51"/>
    <x v="0"/>
    <x v="0"/>
    <x v="5"/>
    <x v="1"/>
    <x v="1"/>
    <n v="15"/>
    <x v="756"/>
    <x v="1"/>
    <x v="0"/>
    <x v="1"/>
    <n v="1"/>
  </r>
  <r>
    <x v="757"/>
    <n v="63"/>
    <x v="2"/>
    <x v="1"/>
    <x v="3"/>
    <x v="4"/>
    <x v="2"/>
    <n v="4"/>
    <x v="757"/>
    <x v="1"/>
    <x v="1"/>
    <x v="3"/>
    <n v="3"/>
  </r>
  <r>
    <x v="758"/>
    <n v="52"/>
    <x v="0"/>
    <x v="1"/>
    <x v="4"/>
    <x v="2"/>
    <x v="1"/>
    <n v="9"/>
    <x v="758"/>
    <x v="1"/>
    <x v="2"/>
    <x v="0"/>
    <n v="1"/>
  </r>
  <r>
    <x v="759"/>
    <n v="38"/>
    <x v="3"/>
    <x v="0"/>
    <x v="1"/>
    <x v="4"/>
    <x v="0"/>
    <n v="7"/>
    <x v="759"/>
    <x v="1"/>
    <x v="1"/>
    <x v="2"/>
    <n v="3"/>
  </r>
  <r>
    <x v="760"/>
    <n v="88"/>
    <x v="2"/>
    <x v="1"/>
    <x v="5"/>
    <x v="4"/>
    <x v="2"/>
    <n v="19"/>
    <x v="760"/>
    <x v="0"/>
    <x v="0"/>
    <x v="1"/>
    <n v="3"/>
  </r>
  <r>
    <x v="761"/>
    <n v="79"/>
    <x v="2"/>
    <x v="1"/>
    <x v="3"/>
    <x v="2"/>
    <x v="2"/>
    <n v="19"/>
    <x v="761"/>
    <x v="0"/>
    <x v="1"/>
    <x v="0"/>
    <n v="1"/>
  </r>
  <r>
    <x v="762"/>
    <n v="30"/>
    <x v="3"/>
    <x v="1"/>
    <x v="1"/>
    <x v="4"/>
    <x v="0"/>
    <n v="6"/>
    <x v="762"/>
    <x v="1"/>
    <x v="0"/>
    <x v="1"/>
    <n v="5"/>
  </r>
  <r>
    <x v="763"/>
    <n v="51"/>
    <x v="0"/>
    <x v="1"/>
    <x v="2"/>
    <x v="0"/>
    <x v="2"/>
    <n v="6"/>
    <x v="763"/>
    <x v="0"/>
    <x v="1"/>
    <x v="3"/>
    <n v="3"/>
  </r>
  <r>
    <x v="764"/>
    <n v="81"/>
    <x v="2"/>
    <x v="0"/>
    <x v="2"/>
    <x v="2"/>
    <x v="2"/>
    <n v="15"/>
    <x v="764"/>
    <x v="0"/>
    <x v="1"/>
    <x v="0"/>
    <n v="1"/>
  </r>
  <r>
    <x v="765"/>
    <n v="5"/>
    <x v="1"/>
    <x v="0"/>
    <x v="5"/>
    <x v="4"/>
    <x v="1"/>
    <n v="15"/>
    <x v="765"/>
    <x v="1"/>
    <x v="0"/>
    <x v="1"/>
    <n v="5"/>
  </r>
  <r>
    <x v="766"/>
    <n v="29"/>
    <x v="3"/>
    <x v="0"/>
    <x v="3"/>
    <x v="3"/>
    <x v="0"/>
    <n v="9"/>
    <x v="766"/>
    <x v="0"/>
    <x v="1"/>
    <x v="0"/>
    <n v="3"/>
  </r>
  <r>
    <x v="767"/>
    <n v="4"/>
    <x v="1"/>
    <x v="1"/>
    <x v="3"/>
    <x v="4"/>
    <x v="0"/>
    <n v="4"/>
    <x v="767"/>
    <x v="0"/>
    <x v="2"/>
    <x v="3"/>
    <n v="5"/>
  </r>
  <r>
    <x v="768"/>
    <n v="10"/>
    <x v="1"/>
    <x v="1"/>
    <x v="1"/>
    <x v="0"/>
    <x v="0"/>
    <n v="18"/>
    <x v="768"/>
    <x v="1"/>
    <x v="1"/>
    <x v="0"/>
    <n v="4"/>
  </r>
  <r>
    <x v="769"/>
    <n v="56"/>
    <x v="0"/>
    <x v="0"/>
    <x v="1"/>
    <x v="1"/>
    <x v="0"/>
    <n v="18"/>
    <x v="769"/>
    <x v="0"/>
    <x v="1"/>
    <x v="1"/>
    <n v="4"/>
  </r>
  <r>
    <x v="770"/>
    <n v="17"/>
    <x v="1"/>
    <x v="1"/>
    <x v="3"/>
    <x v="4"/>
    <x v="0"/>
    <n v="5"/>
    <x v="770"/>
    <x v="0"/>
    <x v="2"/>
    <x v="3"/>
    <n v="5"/>
  </r>
  <r>
    <x v="771"/>
    <n v="74"/>
    <x v="2"/>
    <x v="1"/>
    <x v="1"/>
    <x v="1"/>
    <x v="2"/>
    <n v="11"/>
    <x v="771"/>
    <x v="0"/>
    <x v="0"/>
    <x v="2"/>
    <n v="3"/>
  </r>
  <r>
    <x v="772"/>
    <n v="17"/>
    <x v="1"/>
    <x v="1"/>
    <x v="3"/>
    <x v="3"/>
    <x v="1"/>
    <n v="5"/>
    <x v="772"/>
    <x v="1"/>
    <x v="2"/>
    <x v="1"/>
    <n v="1"/>
  </r>
  <r>
    <x v="773"/>
    <n v="84"/>
    <x v="2"/>
    <x v="1"/>
    <x v="4"/>
    <x v="4"/>
    <x v="0"/>
    <n v="4"/>
    <x v="773"/>
    <x v="1"/>
    <x v="1"/>
    <x v="1"/>
    <n v="2"/>
  </r>
  <r>
    <x v="774"/>
    <n v="88"/>
    <x v="2"/>
    <x v="0"/>
    <x v="3"/>
    <x v="2"/>
    <x v="1"/>
    <n v="12"/>
    <x v="774"/>
    <x v="0"/>
    <x v="0"/>
    <x v="3"/>
    <n v="1"/>
  </r>
  <r>
    <x v="775"/>
    <n v="69"/>
    <x v="2"/>
    <x v="0"/>
    <x v="2"/>
    <x v="1"/>
    <x v="1"/>
    <n v="2"/>
    <x v="775"/>
    <x v="0"/>
    <x v="1"/>
    <x v="3"/>
    <n v="2"/>
  </r>
  <r>
    <x v="776"/>
    <n v="34"/>
    <x v="3"/>
    <x v="0"/>
    <x v="1"/>
    <x v="3"/>
    <x v="2"/>
    <n v="13"/>
    <x v="776"/>
    <x v="0"/>
    <x v="1"/>
    <x v="2"/>
    <n v="2"/>
  </r>
  <r>
    <x v="777"/>
    <n v="6"/>
    <x v="1"/>
    <x v="1"/>
    <x v="3"/>
    <x v="2"/>
    <x v="0"/>
    <n v="10"/>
    <x v="777"/>
    <x v="1"/>
    <x v="2"/>
    <x v="1"/>
    <n v="3"/>
  </r>
  <r>
    <x v="778"/>
    <n v="53"/>
    <x v="0"/>
    <x v="0"/>
    <x v="3"/>
    <x v="2"/>
    <x v="2"/>
    <n v="9"/>
    <x v="778"/>
    <x v="1"/>
    <x v="2"/>
    <x v="3"/>
    <n v="5"/>
  </r>
  <r>
    <x v="779"/>
    <n v="66"/>
    <x v="2"/>
    <x v="0"/>
    <x v="1"/>
    <x v="2"/>
    <x v="0"/>
    <n v="10"/>
    <x v="779"/>
    <x v="1"/>
    <x v="0"/>
    <x v="2"/>
    <n v="1"/>
  </r>
  <r>
    <x v="780"/>
    <n v="77"/>
    <x v="2"/>
    <x v="1"/>
    <x v="4"/>
    <x v="2"/>
    <x v="2"/>
    <n v="7"/>
    <x v="780"/>
    <x v="0"/>
    <x v="0"/>
    <x v="2"/>
    <n v="5"/>
  </r>
  <r>
    <x v="781"/>
    <n v="43"/>
    <x v="0"/>
    <x v="1"/>
    <x v="4"/>
    <x v="4"/>
    <x v="1"/>
    <n v="4"/>
    <x v="781"/>
    <x v="0"/>
    <x v="0"/>
    <x v="3"/>
    <n v="4"/>
  </r>
  <r>
    <x v="782"/>
    <n v="75"/>
    <x v="2"/>
    <x v="0"/>
    <x v="1"/>
    <x v="4"/>
    <x v="0"/>
    <n v="19"/>
    <x v="782"/>
    <x v="0"/>
    <x v="1"/>
    <x v="1"/>
    <n v="3"/>
  </r>
  <r>
    <x v="783"/>
    <n v="23"/>
    <x v="3"/>
    <x v="0"/>
    <x v="0"/>
    <x v="4"/>
    <x v="1"/>
    <n v="10"/>
    <x v="783"/>
    <x v="0"/>
    <x v="2"/>
    <x v="0"/>
    <n v="3"/>
  </r>
  <r>
    <x v="784"/>
    <n v="55"/>
    <x v="0"/>
    <x v="0"/>
    <x v="1"/>
    <x v="3"/>
    <x v="1"/>
    <n v="3"/>
    <x v="784"/>
    <x v="0"/>
    <x v="2"/>
    <x v="0"/>
    <n v="4"/>
  </r>
  <r>
    <x v="785"/>
    <n v="80"/>
    <x v="2"/>
    <x v="0"/>
    <x v="1"/>
    <x v="3"/>
    <x v="2"/>
    <n v="19"/>
    <x v="785"/>
    <x v="1"/>
    <x v="2"/>
    <x v="2"/>
    <n v="1"/>
  </r>
  <r>
    <x v="786"/>
    <n v="75"/>
    <x v="2"/>
    <x v="1"/>
    <x v="4"/>
    <x v="3"/>
    <x v="0"/>
    <n v="2"/>
    <x v="786"/>
    <x v="0"/>
    <x v="0"/>
    <x v="0"/>
    <n v="4"/>
  </r>
  <r>
    <x v="787"/>
    <n v="16"/>
    <x v="1"/>
    <x v="0"/>
    <x v="4"/>
    <x v="0"/>
    <x v="1"/>
    <n v="10"/>
    <x v="787"/>
    <x v="0"/>
    <x v="2"/>
    <x v="0"/>
    <n v="1"/>
  </r>
  <r>
    <x v="788"/>
    <n v="8"/>
    <x v="1"/>
    <x v="0"/>
    <x v="1"/>
    <x v="3"/>
    <x v="2"/>
    <n v="2"/>
    <x v="788"/>
    <x v="0"/>
    <x v="2"/>
    <x v="3"/>
    <n v="2"/>
  </r>
  <r>
    <x v="789"/>
    <n v="4"/>
    <x v="1"/>
    <x v="1"/>
    <x v="1"/>
    <x v="4"/>
    <x v="0"/>
    <n v="2"/>
    <x v="789"/>
    <x v="1"/>
    <x v="2"/>
    <x v="2"/>
    <n v="3"/>
  </r>
  <r>
    <x v="790"/>
    <n v="4"/>
    <x v="1"/>
    <x v="0"/>
    <x v="1"/>
    <x v="4"/>
    <x v="0"/>
    <n v="17"/>
    <x v="790"/>
    <x v="0"/>
    <x v="0"/>
    <x v="1"/>
    <n v="1"/>
  </r>
  <r>
    <x v="791"/>
    <n v="56"/>
    <x v="0"/>
    <x v="1"/>
    <x v="4"/>
    <x v="0"/>
    <x v="1"/>
    <n v="16"/>
    <x v="791"/>
    <x v="1"/>
    <x v="2"/>
    <x v="2"/>
    <n v="5"/>
  </r>
  <r>
    <x v="792"/>
    <n v="25"/>
    <x v="3"/>
    <x v="1"/>
    <x v="1"/>
    <x v="0"/>
    <x v="0"/>
    <n v="16"/>
    <x v="792"/>
    <x v="1"/>
    <x v="0"/>
    <x v="3"/>
    <n v="5"/>
  </r>
  <r>
    <x v="793"/>
    <n v="67"/>
    <x v="2"/>
    <x v="1"/>
    <x v="1"/>
    <x v="3"/>
    <x v="1"/>
    <n v="14"/>
    <x v="793"/>
    <x v="1"/>
    <x v="2"/>
    <x v="0"/>
    <n v="3"/>
  </r>
  <r>
    <x v="794"/>
    <n v="67"/>
    <x v="2"/>
    <x v="0"/>
    <x v="5"/>
    <x v="1"/>
    <x v="0"/>
    <n v="7"/>
    <x v="794"/>
    <x v="1"/>
    <x v="2"/>
    <x v="1"/>
    <n v="4"/>
  </r>
  <r>
    <x v="795"/>
    <n v="27"/>
    <x v="3"/>
    <x v="0"/>
    <x v="0"/>
    <x v="0"/>
    <x v="2"/>
    <n v="11"/>
    <x v="795"/>
    <x v="1"/>
    <x v="2"/>
    <x v="2"/>
    <n v="4"/>
  </r>
  <r>
    <x v="796"/>
    <n v="32"/>
    <x v="3"/>
    <x v="1"/>
    <x v="2"/>
    <x v="2"/>
    <x v="1"/>
    <n v="1"/>
    <x v="796"/>
    <x v="0"/>
    <x v="0"/>
    <x v="0"/>
    <n v="1"/>
  </r>
  <r>
    <x v="797"/>
    <n v="50"/>
    <x v="0"/>
    <x v="0"/>
    <x v="0"/>
    <x v="4"/>
    <x v="1"/>
    <n v="11"/>
    <x v="797"/>
    <x v="0"/>
    <x v="0"/>
    <x v="2"/>
    <n v="4"/>
  </r>
  <r>
    <x v="798"/>
    <n v="61"/>
    <x v="2"/>
    <x v="0"/>
    <x v="5"/>
    <x v="2"/>
    <x v="0"/>
    <n v="4"/>
    <x v="798"/>
    <x v="1"/>
    <x v="2"/>
    <x v="1"/>
    <n v="3"/>
  </r>
  <r>
    <x v="799"/>
    <n v="51"/>
    <x v="0"/>
    <x v="1"/>
    <x v="2"/>
    <x v="4"/>
    <x v="0"/>
    <n v="7"/>
    <x v="799"/>
    <x v="1"/>
    <x v="1"/>
    <x v="2"/>
    <n v="1"/>
  </r>
  <r>
    <x v="800"/>
    <n v="19"/>
    <x v="3"/>
    <x v="1"/>
    <x v="1"/>
    <x v="4"/>
    <x v="1"/>
    <n v="15"/>
    <x v="800"/>
    <x v="1"/>
    <x v="0"/>
    <x v="2"/>
    <n v="2"/>
  </r>
  <r>
    <x v="801"/>
    <n v="21"/>
    <x v="3"/>
    <x v="0"/>
    <x v="5"/>
    <x v="0"/>
    <x v="0"/>
    <n v="18"/>
    <x v="801"/>
    <x v="0"/>
    <x v="0"/>
    <x v="2"/>
    <n v="4"/>
  </r>
  <r>
    <x v="802"/>
    <n v="5"/>
    <x v="1"/>
    <x v="1"/>
    <x v="1"/>
    <x v="0"/>
    <x v="2"/>
    <n v="12"/>
    <x v="802"/>
    <x v="0"/>
    <x v="2"/>
    <x v="0"/>
    <n v="4"/>
  </r>
  <r>
    <x v="803"/>
    <n v="82"/>
    <x v="2"/>
    <x v="0"/>
    <x v="4"/>
    <x v="2"/>
    <x v="0"/>
    <n v="17"/>
    <x v="803"/>
    <x v="1"/>
    <x v="1"/>
    <x v="1"/>
    <n v="1"/>
  </r>
  <r>
    <x v="804"/>
    <n v="42"/>
    <x v="0"/>
    <x v="0"/>
    <x v="3"/>
    <x v="4"/>
    <x v="2"/>
    <n v="1"/>
    <x v="804"/>
    <x v="0"/>
    <x v="2"/>
    <x v="1"/>
    <n v="5"/>
  </r>
  <r>
    <x v="805"/>
    <n v="61"/>
    <x v="2"/>
    <x v="0"/>
    <x v="5"/>
    <x v="2"/>
    <x v="2"/>
    <n v="11"/>
    <x v="805"/>
    <x v="0"/>
    <x v="0"/>
    <x v="0"/>
    <n v="4"/>
  </r>
  <r>
    <x v="806"/>
    <n v="22"/>
    <x v="3"/>
    <x v="0"/>
    <x v="4"/>
    <x v="1"/>
    <x v="2"/>
    <n v="1"/>
    <x v="806"/>
    <x v="1"/>
    <x v="0"/>
    <x v="0"/>
    <n v="3"/>
  </r>
  <r>
    <x v="807"/>
    <n v="21"/>
    <x v="3"/>
    <x v="1"/>
    <x v="5"/>
    <x v="2"/>
    <x v="2"/>
    <n v="15"/>
    <x v="807"/>
    <x v="1"/>
    <x v="2"/>
    <x v="0"/>
    <n v="4"/>
  </r>
  <r>
    <x v="808"/>
    <n v="70"/>
    <x v="2"/>
    <x v="1"/>
    <x v="5"/>
    <x v="3"/>
    <x v="2"/>
    <n v="10"/>
    <x v="808"/>
    <x v="0"/>
    <x v="2"/>
    <x v="3"/>
    <n v="2"/>
  </r>
  <r>
    <x v="809"/>
    <n v="1"/>
    <x v="1"/>
    <x v="1"/>
    <x v="4"/>
    <x v="2"/>
    <x v="0"/>
    <n v="7"/>
    <x v="809"/>
    <x v="0"/>
    <x v="1"/>
    <x v="2"/>
    <n v="4"/>
  </r>
  <r>
    <x v="810"/>
    <n v="5"/>
    <x v="1"/>
    <x v="1"/>
    <x v="2"/>
    <x v="3"/>
    <x v="2"/>
    <n v="2"/>
    <x v="810"/>
    <x v="0"/>
    <x v="1"/>
    <x v="2"/>
    <n v="5"/>
  </r>
  <r>
    <x v="811"/>
    <n v="12"/>
    <x v="1"/>
    <x v="0"/>
    <x v="0"/>
    <x v="3"/>
    <x v="0"/>
    <n v="10"/>
    <x v="811"/>
    <x v="1"/>
    <x v="0"/>
    <x v="1"/>
    <n v="4"/>
  </r>
  <r>
    <x v="812"/>
    <n v="46"/>
    <x v="0"/>
    <x v="0"/>
    <x v="1"/>
    <x v="3"/>
    <x v="2"/>
    <n v="4"/>
    <x v="812"/>
    <x v="1"/>
    <x v="1"/>
    <x v="2"/>
    <n v="1"/>
  </r>
  <r>
    <x v="813"/>
    <n v="34"/>
    <x v="3"/>
    <x v="1"/>
    <x v="5"/>
    <x v="1"/>
    <x v="1"/>
    <n v="12"/>
    <x v="813"/>
    <x v="1"/>
    <x v="1"/>
    <x v="3"/>
    <n v="4"/>
  </r>
  <r>
    <x v="814"/>
    <n v="49"/>
    <x v="0"/>
    <x v="0"/>
    <x v="1"/>
    <x v="2"/>
    <x v="2"/>
    <n v="19"/>
    <x v="814"/>
    <x v="0"/>
    <x v="0"/>
    <x v="0"/>
    <n v="5"/>
  </r>
  <r>
    <x v="815"/>
    <n v="78"/>
    <x v="2"/>
    <x v="0"/>
    <x v="3"/>
    <x v="2"/>
    <x v="1"/>
    <n v="11"/>
    <x v="815"/>
    <x v="0"/>
    <x v="0"/>
    <x v="1"/>
    <n v="1"/>
  </r>
  <r>
    <x v="816"/>
    <n v="45"/>
    <x v="0"/>
    <x v="0"/>
    <x v="4"/>
    <x v="1"/>
    <x v="2"/>
    <n v="8"/>
    <x v="816"/>
    <x v="1"/>
    <x v="0"/>
    <x v="1"/>
    <n v="3"/>
  </r>
  <r>
    <x v="817"/>
    <n v="27"/>
    <x v="3"/>
    <x v="1"/>
    <x v="1"/>
    <x v="4"/>
    <x v="2"/>
    <n v="18"/>
    <x v="817"/>
    <x v="0"/>
    <x v="0"/>
    <x v="2"/>
    <n v="1"/>
  </r>
  <r>
    <x v="818"/>
    <n v="73"/>
    <x v="2"/>
    <x v="1"/>
    <x v="4"/>
    <x v="0"/>
    <x v="2"/>
    <n v="11"/>
    <x v="818"/>
    <x v="1"/>
    <x v="2"/>
    <x v="1"/>
    <n v="2"/>
  </r>
  <r>
    <x v="819"/>
    <n v="26"/>
    <x v="3"/>
    <x v="1"/>
    <x v="1"/>
    <x v="2"/>
    <x v="1"/>
    <n v="11"/>
    <x v="819"/>
    <x v="0"/>
    <x v="0"/>
    <x v="0"/>
    <n v="1"/>
  </r>
  <r>
    <x v="820"/>
    <n v="47"/>
    <x v="0"/>
    <x v="0"/>
    <x v="0"/>
    <x v="0"/>
    <x v="1"/>
    <n v="13"/>
    <x v="820"/>
    <x v="1"/>
    <x v="0"/>
    <x v="1"/>
    <n v="3"/>
  </r>
  <r>
    <x v="821"/>
    <n v="86"/>
    <x v="2"/>
    <x v="1"/>
    <x v="0"/>
    <x v="1"/>
    <x v="2"/>
    <n v="3"/>
    <x v="821"/>
    <x v="0"/>
    <x v="0"/>
    <x v="0"/>
    <n v="4"/>
  </r>
  <r>
    <x v="822"/>
    <n v="56"/>
    <x v="0"/>
    <x v="1"/>
    <x v="0"/>
    <x v="4"/>
    <x v="0"/>
    <n v="12"/>
    <x v="822"/>
    <x v="0"/>
    <x v="1"/>
    <x v="3"/>
    <n v="1"/>
  </r>
  <r>
    <x v="823"/>
    <n v="63"/>
    <x v="2"/>
    <x v="1"/>
    <x v="0"/>
    <x v="4"/>
    <x v="2"/>
    <n v="3"/>
    <x v="823"/>
    <x v="1"/>
    <x v="0"/>
    <x v="3"/>
    <n v="1"/>
  </r>
  <r>
    <x v="824"/>
    <n v="48"/>
    <x v="0"/>
    <x v="1"/>
    <x v="0"/>
    <x v="4"/>
    <x v="1"/>
    <n v="10"/>
    <x v="824"/>
    <x v="1"/>
    <x v="2"/>
    <x v="0"/>
    <n v="1"/>
  </r>
  <r>
    <x v="825"/>
    <n v="61"/>
    <x v="2"/>
    <x v="1"/>
    <x v="0"/>
    <x v="1"/>
    <x v="2"/>
    <n v="17"/>
    <x v="825"/>
    <x v="1"/>
    <x v="2"/>
    <x v="2"/>
    <n v="1"/>
  </r>
  <r>
    <x v="826"/>
    <n v="81"/>
    <x v="2"/>
    <x v="1"/>
    <x v="4"/>
    <x v="3"/>
    <x v="1"/>
    <n v="2"/>
    <x v="826"/>
    <x v="1"/>
    <x v="0"/>
    <x v="1"/>
    <n v="3"/>
  </r>
  <r>
    <x v="827"/>
    <n v="26"/>
    <x v="3"/>
    <x v="0"/>
    <x v="5"/>
    <x v="3"/>
    <x v="1"/>
    <n v="17"/>
    <x v="827"/>
    <x v="1"/>
    <x v="2"/>
    <x v="2"/>
    <n v="5"/>
  </r>
  <r>
    <x v="828"/>
    <n v="36"/>
    <x v="3"/>
    <x v="0"/>
    <x v="1"/>
    <x v="0"/>
    <x v="1"/>
    <n v="16"/>
    <x v="828"/>
    <x v="0"/>
    <x v="1"/>
    <x v="1"/>
    <n v="5"/>
  </r>
  <r>
    <x v="829"/>
    <n v="1"/>
    <x v="1"/>
    <x v="1"/>
    <x v="0"/>
    <x v="3"/>
    <x v="2"/>
    <n v="2"/>
    <x v="829"/>
    <x v="1"/>
    <x v="0"/>
    <x v="3"/>
    <n v="1"/>
  </r>
  <r>
    <x v="830"/>
    <n v="8"/>
    <x v="1"/>
    <x v="1"/>
    <x v="4"/>
    <x v="3"/>
    <x v="1"/>
    <n v="6"/>
    <x v="830"/>
    <x v="1"/>
    <x v="2"/>
    <x v="3"/>
    <n v="3"/>
  </r>
  <r>
    <x v="831"/>
    <n v="52"/>
    <x v="0"/>
    <x v="0"/>
    <x v="4"/>
    <x v="4"/>
    <x v="1"/>
    <n v="10"/>
    <x v="831"/>
    <x v="1"/>
    <x v="2"/>
    <x v="3"/>
    <n v="3"/>
  </r>
  <r>
    <x v="832"/>
    <n v="79"/>
    <x v="2"/>
    <x v="0"/>
    <x v="4"/>
    <x v="4"/>
    <x v="2"/>
    <n v="10"/>
    <x v="832"/>
    <x v="1"/>
    <x v="0"/>
    <x v="1"/>
    <n v="1"/>
  </r>
  <r>
    <x v="833"/>
    <n v="47"/>
    <x v="0"/>
    <x v="1"/>
    <x v="5"/>
    <x v="0"/>
    <x v="1"/>
    <n v="8"/>
    <x v="833"/>
    <x v="1"/>
    <x v="2"/>
    <x v="3"/>
    <n v="2"/>
  </r>
  <r>
    <x v="834"/>
    <n v="56"/>
    <x v="0"/>
    <x v="1"/>
    <x v="1"/>
    <x v="2"/>
    <x v="2"/>
    <n v="1"/>
    <x v="834"/>
    <x v="0"/>
    <x v="0"/>
    <x v="3"/>
    <n v="1"/>
  </r>
  <r>
    <x v="835"/>
    <n v="86"/>
    <x v="2"/>
    <x v="1"/>
    <x v="5"/>
    <x v="0"/>
    <x v="1"/>
    <n v="13"/>
    <x v="835"/>
    <x v="1"/>
    <x v="2"/>
    <x v="3"/>
    <n v="2"/>
  </r>
  <r>
    <x v="836"/>
    <n v="14"/>
    <x v="1"/>
    <x v="1"/>
    <x v="2"/>
    <x v="0"/>
    <x v="0"/>
    <n v="9"/>
    <x v="836"/>
    <x v="1"/>
    <x v="1"/>
    <x v="3"/>
    <n v="1"/>
  </r>
  <r>
    <x v="837"/>
    <n v="28"/>
    <x v="3"/>
    <x v="0"/>
    <x v="4"/>
    <x v="1"/>
    <x v="0"/>
    <n v="10"/>
    <x v="837"/>
    <x v="1"/>
    <x v="2"/>
    <x v="2"/>
    <n v="2"/>
  </r>
  <r>
    <x v="838"/>
    <n v="87"/>
    <x v="2"/>
    <x v="1"/>
    <x v="2"/>
    <x v="1"/>
    <x v="1"/>
    <n v="15"/>
    <x v="838"/>
    <x v="0"/>
    <x v="2"/>
    <x v="3"/>
    <n v="2"/>
  </r>
  <r>
    <x v="839"/>
    <n v="78"/>
    <x v="2"/>
    <x v="1"/>
    <x v="3"/>
    <x v="0"/>
    <x v="0"/>
    <n v="5"/>
    <x v="839"/>
    <x v="0"/>
    <x v="0"/>
    <x v="3"/>
    <n v="1"/>
  </r>
  <r>
    <x v="840"/>
    <n v="88"/>
    <x v="2"/>
    <x v="1"/>
    <x v="0"/>
    <x v="0"/>
    <x v="2"/>
    <n v="16"/>
    <x v="840"/>
    <x v="1"/>
    <x v="2"/>
    <x v="2"/>
    <n v="2"/>
  </r>
  <r>
    <x v="841"/>
    <n v="2"/>
    <x v="1"/>
    <x v="1"/>
    <x v="0"/>
    <x v="0"/>
    <x v="0"/>
    <n v="13"/>
    <x v="841"/>
    <x v="1"/>
    <x v="0"/>
    <x v="2"/>
    <n v="4"/>
  </r>
  <r>
    <x v="842"/>
    <n v="26"/>
    <x v="3"/>
    <x v="0"/>
    <x v="5"/>
    <x v="3"/>
    <x v="1"/>
    <n v="18"/>
    <x v="842"/>
    <x v="0"/>
    <x v="1"/>
    <x v="1"/>
    <n v="5"/>
  </r>
  <r>
    <x v="843"/>
    <n v="14"/>
    <x v="1"/>
    <x v="0"/>
    <x v="1"/>
    <x v="1"/>
    <x v="1"/>
    <n v="11"/>
    <x v="843"/>
    <x v="0"/>
    <x v="0"/>
    <x v="0"/>
    <n v="3"/>
  </r>
  <r>
    <x v="844"/>
    <n v="59"/>
    <x v="0"/>
    <x v="0"/>
    <x v="2"/>
    <x v="0"/>
    <x v="2"/>
    <n v="9"/>
    <x v="844"/>
    <x v="0"/>
    <x v="0"/>
    <x v="3"/>
    <n v="2"/>
  </r>
  <r>
    <x v="845"/>
    <n v="56"/>
    <x v="0"/>
    <x v="1"/>
    <x v="1"/>
    <x v="4"/>
    <x v="1"/>
    <n v="16"/>
    <x v="845"/>
    <x v="1"/>
    <x v="2"/>
    <x v="3"/>
    <n v="2"/>
  </r>
  <r>
    <x v="846"/>
    <n v="7"/>
    <x v="1"/>
    <x v="1"/>
    <x v="5"/>
    <x v="4"/>
    <x v="2"/>
    <n v="2"/>
    <x v="846"/>
    <x v="1"/>
    <x v="1"/>
    <x v="3"/>
    <n v="3"/>
  </r>
  <r>
    <x v="847"/>
    <n v="3"/>
    <x v="1"/>
    <x v="0"/>
    <x v="0"/>
    <x v="3"/>
    <x v="0"/>
    <n v="2"/>
    <x v="847"/>
    <x v="0"/>
    <x v="0"/>
    <x v="1"/>
    <n v="2"/>
  </r>
  <r>
    <x v="848"/>
    <n v="23"/>
    <x v="3"/>
    <x v="1"/>
    <x v="1"/>
    <x v="3"/>
    <x v="0"/>
    <n v="12"/>
    <x v="848"/>
    <x v="1"/>
    <x v="2"/>
    <x v="3"/>
    <n v="3"/>
  </r>
  <r>
    <x v="849"/>
    <n v="18"/>
    <x v="1"/>
    <x v="1"/>
    <x v="1"/>
    <x v="2"/>
    <x v="2"/>
    <n v="8"/>
    <x v="849"/>
    <x v="0"/>
    <x v="2"/>
    <x v="0"/>
    <n v="1"/>
  </r>
  <r>
    <x v="850"/>
    <n v="38"/>
    <x v="3"/>
    <x v="0"/>
    <x v="0"/>
    <x v="2"/>
    <x v="2"/>
    <n v="9"/>
    <x v="850"/>
    <x v="0"/>
    <x v="0"/>
    <x v="2"/>
    <n v="4"/>
  </r>
  <r>
    <x v="851"/>
    <n v="15"/>
    <x v="1"/>
    <x v="0"/>
    <x v="2"/>
    <x v="2"/>
    <x v="1"/>
    <n v="12"/>
    <x v="851"/>
    <x v="0"/>
    <x v="2"/>
    <x v="1"/>
    <n v="4"/>
  </r>
  <r>
    <x v="852"/>
    <n v="64"/>
    <x v="2"/>
    <x v="0"/>
    <x v="0"/>
    <x v="3"/>
    <x v="0"/>
    <n v="9"/>
    <x v="852"/>
    <x v="1"/>
    <x v="0"/>
    <x v="2"/>
    <n v="5"/>
  </r>
  <r>
    <x v="853"/>
    <n v="89"/>
    <x v="2"/>
    <x v="0"/>
    <x v="1"/>
    <x v="3"/>
    <x v="2"/>
    <n v="10"/>
    <x v="853"/>
    <x v="0"/>
    <x v="0"/>
    <x v="3"/>
    <n v="2"/>
  </r>
  <r>
    <x v="854"/>
    <n v="28"/>
    <x v="3"/>
    <x v="1"/>
    <x v="2"/>
    <x v="3"/>
    <x v="0"/>
    <n v="2"/>
    <x v="854"/>
    <x v="0"/>
    <x v="0"/>
    <x v="3"/>
    <n v="5"/>
  </r>
  <r>
    <x v="855"/>
    <n v="74"/>
    <x v="2"/>
    <x v="1"/>
    <x v="2"/>
    <x v="4"/>
    <x v="2"/>
    <n v="16"/>
    <x v="855"/>
    <x v="1"/>
    <x v="1"/>
    <x v="3"/>
    <n v="1"/>
  </r>
  <r>
    <x v="856"/>
    <n v="39"/>
    <x v="3"/>
    <x v="0"/>
    <x v="0"/>
    <x v="3"/>
    <x v="0"/>
    <n v="7"/>
    <x v="856"/>
    <x v="0"/>
    <x v="0"/>
    <x v="0"/>
    <n v="4"/>
  </r>
  <r>
    <x v="857"/>
    <n v="57"/>
    <x v="0"/>
    <x v="1"/>
    <x v="1"/>
    <x v="4"/>
    <x v="1"/>
    <n v="2"/>
    <x v="857"/>
    <x v="1"/>
    <x v="2"/>
    <x v="0"/>
    <n v="1"/>
  </r>
  <r>
    <x v="858"/>
    <n v="17"/>
    <x v="1"/>
    <x v="0"/>
    <x v="5"/>
    <x v="2"/>
    <x v="0"/>
    <n v="1"/>
    <x v="858"/>
    <x v="0"/>
    <x v="1"/>
    <x v="1"/>
    <n v="1"/>
  </r>
  <r>
    <x v="859"/>
    <n v="86"/>
    <x v="2"/>
    <x v="0"/>
    <x v="1"/>
    <x v="2"/>
    <x v="0"/>
    <n v="19"/>
    <x v="859"/>
    <x v="1"/>
    <x v="2"/>
    <x v="2"/>
    <n v="2"/>
  </r>
  <r>
    <x v="860"/>
    <n v="44"/>
    <x v="0"/>
    <x v="1"/>
    <x v="4"/>
    <x v="2"/>
    <x v="0"/>
    <n v="4"/>
    <x v="860"/>
    <x v="0"/>
    <x v="1"/>
    <x v="3"/>
    <n v="1"/>
  </r>
  <r>
    <x v="861"/>
    <n v="25"/>
    <x v="3"/>
    <x v="0"/>
    <x v="3"/>
    <x v="0"/>
    <x v="0"/>
    <n v="2"/>
    <x v="861"/>
    <x v="0"/>
    <x v="1"/>
    <x v="3"/>
    <n v="4"/>
  </r>
  <r>
    <x v="862"/>
    <n v="17"/>
    <x v="1"/>
    <x v="1"/>
    <x v="5"/>
    <x v="0"/>
    <x v="0"/>
    <n v="14"/>
    <x v="862"/>
    <x v="0"/>
    <x v="1"/>
    <x v="3"/>
    <n v="5"/>
  </r>
  <r>
    <x v="863"/>
    <n v="13"/>
    <x v="1"/>
    <x v="1"/>
    <x v="2"/>
    <x v="1"/>
    <x v="1"/>
    <n v="2"/>
    <x v="863"/>
    <x v="0"/>
    <x v="1"/>
    <x v="3"/>
    <n v="4"/>
  </r>
  <r>
    <x v="864"/>
    <n v="84"/>
    <x v="2"/>
    <x v="1"/>
    <x v="5"/>
    <x v="1"/>
    <x v="2"/>
    <n v="15"/>
    <x v="864"/>
    <x v="0"/>
    <x v="2"/>
    <x v="0"/>
    <n v="2"/>
  </r>
  <r>
    <x v="865"/>
    <n v="25"/>
    <x v="3"/>
    <x v="1"/>
    <x v="2"/>
    <x v="1"/>
    <x v="0"/>
    <n v="12"/>
    <x v="865"/>
    <x v="1"/>
    <x v="0"/>
    <x v="2"/>
    <n v="4"/>
  </r>
  <r>
    <x v="866"/>
    <n v="68"/>
    <x v="2"/>
    <x v="0"/>
    <x v="2"/>
    <x v="0"/>
    <x v="1"/>
    <n v="5"/>
    <x v="866"/>
    <x v="1"/>
    <x v="2"/>
    <x v="2"/>
    <n v="3"/>
  </r>
  <r>
    <x v="867"/>
    <n v="10"/>
    <x v="1"/>
    <x v="1"/>
    <x v="5"/>
    <x v="0"/>
    <x v="0"/>
    <n v="7"/>
    <x v="867"/>
    <x v="0"/>
    <x v="0"/>
    <x v="1"/>
    <n v="5"/>
  </r>
  <r>
    <x v="868"/>
    <n v="67"/>
    <x v="2"/>
    <x v="0"/>
    <x v="2"/>
    <x v="1"/>
    <x v="0"/>
    <n v="10"/>
    <x v="868"/>
    <x v="0"/>
    <x v="2"/>
    <x v="0"/>
    <n v="3"/>
  </r>
  <r>
    <x v="869"/>
    <n v="18"/>
    <x v="1"/>
    <x v="0"/>
    <x v="2"/>
    <x v="1"/>
    <x v="2"/>
    <n v="14"/>
    <x v="869"/>
    <x v="0"/>
    <x v="1"/>
    <x v="3"/>
    <n v="3"/>
  </r>
  <r>
    <x v="870"/>
    <n v="86"/>
    <x v="2"/>
    <x v="0"/>
    <x v="4"/>
    <x v="3"/>
    <x v="0"/>
    <n v="14"/>
    <x v="870"/>
    <x v="1"/>
    <x v="1"/>
    <x v="2"/>
    <n v="2"/>
  </r>
  <r>
    <x v="871"/>
    <n v="34"/>
    <x v="3"/>
    <x v="0"/>
    <x v="1"/>
    <x v="1"/>
    <x v="1"/>
    <n v="5"/>
    <x v="871"/>
    <x v="1"/>
    <x v="0"/>
    <x v="2"/>
    <n v="1"/>
  </r>
  <r>
    <x v="872"/>
    <n v="8"/>
    <x v="1"/>
    <x v="1"/>
    <x v="1"/>
    <x v="3"/>
    <x v="1"/>
    <n v="18"/>
    <x v="872"/>
    <x v="0"/>
    <x v="0"/>
    <x v="0"/>
    <n v="3"/>
  </r>
  <r>
    <x v="873"/>
    <n v="40"/>
    <x v="3"/>
    <x v="1"/>
    <x v="3"/>
    <x v="4"/>
    <x v="2"/>
    <n v="14"/>
    <x v="873"/>
    <x v="1"/>
    <x v="2"/>
    <x v="1"/>
    <n v="4"/>
  </r>
  <r>
    <x v="874"/>
    <n v="83"/>
    <x v="2"/>
    <x v="0"/>
    <x v="3"/>
    <x v="0"/>
    <x v="0"/>
    <n v="2"/>
    <x v="874"/>
    <x v="0"/>
    <x v="0"/>
    <x v="1"/>
    <n v="1"/>
  </r>
  <r>
    <x v="875"/>
    <n v="42"/>
    <x v="0"/>
    <x v="0"/>
    <x v="4"/>
    <x v="1"/>
    <x v="1"/>
    <n v="12"/>
    <x v="875"/>
    <x v="0"/>
    <x v="2"/>
    <x v="3"/>
    <n v="4"/>
  </r>
  <r>
    <x v="876"/>
    <n v="41"/>
    <x v="0"/>
    <x v="1"/>
    <x v="3"/>
    <x v="0"/>
    <x v="0"/>
    <n v="6"/>
    <x v="876"/>
    <x v="0"/>
    <x v="0"/>
    <x v="1"/>
    <n v="4"/>
  </r>
  <r>
    <x v="877"/>
    <n v="6"/>
    <x v="1"/>
    <x v="0"/>
    <x v="5"/>
    <x v="0"/>
    <x v="0"/>
    <n v="4"/>
    <x v="877"/>
    <x v="1"/>
    <x v="0"/>
    <x v="2"/>
    <n v="1"/>
  </r>
  <r>
    <x v="878"/>
    <n v="52"/>
    <x v="0"/>
    <x v="1"/>
    <x v="0"/>
    <x v="0"/>
    <x v="0"/>
    <n v="13"/>
    <x v="878"/>
    <x v="0"/>
    <x v="0"/>
    <x v="1"/>
    <n v="1"/>
  </r>
  <r>
    <x v="879"/>
    <n v="26"/>
    <x v="3"/>
    <x v="0"/>
    <x v="0"/>
    <x v="4"/>
    <x v="2"/>
    <n v="4"/>
    <x v="879"/>
    <x v="0"/>
    <x v="1"/>
    <x v="3"/>
    <n v="4"/>
  </r>
  <r>
    <x v="880"/>
    <n v="64"/>
    <x v="2"/>
    <x v="1"/>
    <x v="0"/>
    <x v="2"/>
    <x v="0"/>
    <n v="14"/>
    <x v="880"/>
    <x v="0"/>
    <x v="1"/>
    <x v="2"/>
    <n v="2"/>
  </r>
  <r>
    <x v="881"/>
    <n v="59"/>
    <x v="0"/>
    <x v="0"/>
    <x v="4"/>
    <x v="1"/>
    <x v="1"/>
    <n v="16"/>
    <x v="881"/>
    <x v="1"/>
    <x v="2"/>
    <x v="1"/>
    <n v="5"/>
  </r>
  <r>
    <x v="882"/>
    <n v="56"/>
    <x v="0"/>
    <x v="0"/>
    <x v="4"/>
    <x v="2"/>
    <x v="0"/>
    <n v="4"/>
    <x v="882"/>
    <x v="1"/>
    <x v="0"/>
    <x v="1"/>
    <n v="5"/>
  </r>
  <r>
    <x v="883"/>
    <n v="59"/>
    <x v="0"/>
    <x v="1"/>
    <x v="2"/>
    <x v="2"/>
    <x v="1"/>
    <n v="1"/>
    <x v="883"/>
    <x v="1"/>
    <x v="2"/>
    <x v="0"/>
    <n v="2"/>
  </r>
  <r>
    <x v="884"/>
    <n v="70"/>
    <x v="2"/>
    <x v="0"/>
    <x v="0"/>
    <x v="2"/>
    <x v="0"/>
    <n v="13"/>
    <x v="884"/>
    <x v="0"/>
    <x v="0"/>
    <x v="3"/>
    <n v="1"/>
  </r>
  <r>
    <x v="885"/>
    <n v="33"/>
    <x v="3"/>
    <x v="0"/>
    <x v="5"/>
    <x v="0"/>
    <x v="1"/>
    <n v="4"/>
    <x v="885"/>
    <x v="1"/>
    <x v="1"/>
    <x v="1"/>
    <n v="4"/>
  </r>
  <r>
    <x v="886"/>
    <n v="53"/>
    <x v="0"/>
    <x v="1"/>
    <x v="3"/>
    <x v="3"/>
    <x v="1"/>
    <n v="18"/>
    <x v="886"/>
    <x v="0"/>
    <x v="1"/>
    <x v="0"/>
    <n v="5"/>
  </r>
  <r>
    <x v="887"/>
    <n v="22"/>
    <x v="3"/>
    <x v="0"/>
    <x v="5"/>
    <x v="0"/>
    <x v="0"/>
    <n v="6"/>
    <x v="887"/>
    <x v="1"/>
    <x v="0"/>
    <x v="2"/>
    <n v="4"/>
  </r>
  <r>
    <x v="888"/>
    <n v="21"/>
    <x v="3"/>
    <x v="1"/>
    <x v="3"/>
    <x v="0"/>
    <x v="0"/>
    <n v="3"/>
    <x v="888"/>
    <x v="0"/>
    <x v="0"/>
    <x v="0"/>
    <n v="2"/>
  </r>
  <r>
    <x v="889"/>
    <n v="70"/>
    <x v="2"/>
    <x v="1"/>
    <x v="0"/>
    <x v="2"/>
    <x v="1"/>
    <n v="13"/>
    <x v="889"/>
    <x v="1"/>
    <x v="1"/>
    <x v="0"/>
    <n v="4"/>
  </r>
  <r>
    <x v="890"/>
    <n v="70"/>
    <x v="2"/>
    <x v="0"/>
    <x v="0"/>
    <x v="0"/>
    <x v="2"/>
    <n v="16"/>
    <x v="890"/>
    <x v="0"/>
    <x v="1"/>
    <x v="1"/>
    <n v="2"/>
  </r>
  <r>
    <x v="891"/>
    <n v="4"/>
    <x v="1"/>
    <x v="0"/>
    <x v="0"/>
    <x v="2"/>
    <x v="0"/>
    <n v="5"/>
    <x v="891"/>
    <x v="1"/>
    <x v="2"/>
    <x v="1"/>
    <n v="1"/>
  </r>
  <r>
    <x v="892"/>
    <n v="75"/>
    <x v="2"/>
    <x v="0"/>
    <x v="4"/>
    <x v="3"/>
    <x v="2"/>
    <n v="4"/>
    <x v="892"/>
    <x v="1"/>
    <x v="1"/>
    <x v="1"/>
    <n v="2"/>
  </r>
  <r>
    <x v="893"/>
    <n v="62"/>
    <x v="2"/>
    <x v="0"/>
    <x v="3"/>
    <x v="1"/>
    <x v="0"/>
    <n v="8"/>
    <x v="893"/>
    <x v="1"/>
    <x v="0"/>
    <x v="0"/>
    <n v="2"/>
  </r>
  <r>
    <x v="894"/>
    <n v="62"/>
    <x v="2"/>
    <x v="0"/>
    <x v="4"/>
    <x v="2"/>
    <x v="0"/>
    <n v="19"/>
    <x v="894"/>
    <x v="0"/>
    <x v="2"/>
    <x v="2"/>
    <n v="5"/>
  </r>
  <r>
    <x v="895"/>
    <n v="24"/>
    <x v="3"/>
    <x v="0"/>
    <x v="4"/>
    <x v="3"/>
    <x v="0"/>
    <n v="14"/>
    <x v="895"/>
    <x v="1"/>
    <x v="0"/>
    <x v="3"/>
    <n v="4"/>
  </r>
  <r>
    <x v="896"/>
    <n v="55"/>
    <x v="0"/>
    <x v="0"/>
    <x v="1"/>
    <x v="1"/>
    <x v="0"/>
    <n v="7"/>
    <x v="896"/>
    <x v="1"/>
    <x v="2"/>
    <x v="0"/>
    <n v="5"/>
  </r>
  <r>
    <x v="897"/>
    <n v="9"/>
    <x v="1"/>
    <x v="1"/>
    <x v="5"/>
    <x v="4"/>
    <x v="2"/>
    <n v="14"/>
    <x v="897"/>
    <x v="1"/>
    <x v="0"/>
    <x v="1"/>
    <n v="3"/>
  </r>
  <r>
    <x v="898"/>
    <n v="3"/>
    <x v="1"/>
    <x v="0"/>
    <x v="5"/>
    <x v="2"/>
    <x v="0"/>
    <n v="6"/>
    <x v="898"/>
    <x v="1"/>
    <x v="1"/>
    <x v="3"/>
    <n v="2"/>
  </r>
  <r>
    <x v="899"/>
    <n v="31"/>
    <x v="3"/>
    <x v="1"/>
    <x v="2"/>
    <x v="2"/>
    <x v="1"/>
    <n v="12"/>
    <x v="899"/>
    <x v="0"/>
    <x v="0"/>
    <x v="2"/>
    <n v="3"/>
  </r>
  <r>
    <x v="900"/>
    <n v="40"/>
    <x v="3"/>
    <x v="0"/>
    <x v="4"/>
    <x v="4"/>
    <x v="1"/>
    <n v="16"/>
    <x v="900"/>
    <x v="1"/>
    <x v="2"/>
    <x v="3"/>
    <n v="5"/>
  </r>
  <r>
    <x v="901"/>
    <n v="36"/>
    <x v="3"/>
    <x v="0"/>
    <x v="3"/>
    <x v="4"/>
    <x v="2"/>
    <n v="17"/>
    <x v="901"/>
    <x v="0"/>
    <x v="0"/>
    <x v="1"/>
    <n v="4"/>
  </r>
  <r>
    <x v="902"/>
    <n v="24"/>
    <x v="3"/>
    <x v="1"/>
    <x v="1"/>
    <x v="2"/>
    <x v="0"/>
    <n v="13"/>
    <x v="902"/>
    <x v="0"/>
    <x v="2"/>
    <x v="0"/>
    <n v="5"/>
  </r>
  <r>
    <x v="903"/>
    <n v="6"/>
    <x v="1"/>
    <x v="0"/>
    <x v="1"/>
    <x v="4"/>
    <x v="1"/>
    <n v="14"/>
    <x v="903"/>
    <x v="0"/>
    <x v="0"/>
    <x v="0"/>
    <n v="4"/>
  </r>
  <r>
    <x v="904"/>
    <n v="66"/>
    <x v="2"/>
    <x v="0"/>
    <x v="5"/>
    <x v="0"/>
    <x v="2"/>
    <n v="7"/>
    <x v="904"/>
    <x v="0"/>
    <x v="1"/>
    <x v="1"/>
    <n v="4"/>
  </r>
  <r>
    <x v="905"/>
    <n v="84"/>
    <x v="2"/>
    <x v="1"/>
    <x v="4"/>
    <x v="1"/>
    <x v="0"/>
    <n v="14"/>
    <x v="905"/>
    <x v="1"/>
    <x v="1"/>
    <x v="0"/>
    <n v="1"/>
  </r>
  <r>
    <x v="906"/>
    <n v="75"/>
    <x v="2"/>
    <x v="0"/>
    <x v="2"/>
    <x v="1"/>
    <x v="1"/>
    <n v="15"/>
    <x v="906"/>
    <x v="0"/>
    <x v="0"/>
    <x v="1"/>
    <n v="2"/>
  </r>
  <r>
    <x v="907"/>
    <n v="4"/>
    <x v="1"/>
    <x v="0"/>
    <x v="4"/>
    <x v="1"/>
    <x v="1"/>
    <n v="12"/>
    <x v="907"/>
    <x v="0"/>
    <x v="0"/>
    <x v="0"/>
    <n v="5"/>
  </r>
  <r>
    <x v="908"/>
    <n v="79"/>
    <x v="2"/>
    <x v="0"/>
    <x v="0"/>
    <x v="0"/>
    <x v="2"/>
    <n v="17"/>
    <x v="908"/>
    <x v="0"/>
    <x v="0"/>
    <x v="0"/>
    <n v="4"/>
  </r>
  <r>
    <x v="909"/>
    <n v="6"/>
    <x v="1"/>
    <x v="1"/>
    <x v="4"/>
    <x v="4"/>
    <x v="0"/>
    <n v="9"/>
    <x v="909"/>
    <x v="0"/>
    <x v="2"/>
    <x v="0"/>
    <n v="5"/>
  </r>
  <r>
    <x v="910"/>
    <n v="51"/>
    <x v="0"/>
    <x v="0"/>
    <x v="0"/>
    <x v="3"/>
    <x v="0"/>
    <n v="15"/>
    <x v="910"/>
    <x v="1"/>
    <x v="0"/>
    <x v="2"/>
    <n v="5"/>
  </r>
  <r>
    <x v="911"/>
    <n v="62"/>
    <x v="2"/>
    <x v="0"/>
    <x v="0"/>
    <x v="4"/>
    <x v="1"/>
    <n v="12"/>
    <x v="911"/>
    <x v="1"/>
    <x v="0"/>
    <x v="2"/>
    <n v="4"/>
  </r>
  <r>
    <x v="912"/>
    <n v="57"/>
    <x v="0"/>
    <x v="0"/>
    <x v="2"/>
    <x v="2"/>
    <x v="1"/>
    <n v="2"/>
    <x v="912"/>
    <x v="0"/>
    <x v="2"/>
    <x v="1"/>
    <n v="3"/>
  </r>
  <r>
    <x v="913"/>
    <n v="66"/>
    <x v="2"/>
    <x v="0"/>
    <x v="3"/>
    <x v="1"/>
    <x v="1"/>
    <n v="5"/>
    <x v="913"/>
    <x v="0"/>
    <x v="1"/>
    <x v="2"/>
    <n v="2"/>
  </r>
  <r>
    <x v="914"/>
    <n v="79"/>
    <x v="2"/>
    <x v="1"/>
    <x v="5"/>
    <x v="4"/>
    <x v="0"/>
    <n v="13"/>
    <x v="914"/>
    <x v="0"/>
    <x v="0"/>
    <x v="1"/>
    <n v="2"/>
  </r>
  <r>
    <x v="915"/>
    <n v="75"/>
    <x v="2"/>
    <x v="1"/>
    <x v="4"/>
    <x v="3"/>
    <x v="2"/>
    <n v="8"/>
    <x v="915"/>
    <x v="1"/>
    <x v="0"/>
    <x v="3"/>
    <n v="1"/>
  </r>
  <r>
    <x v="916"/>
    <n v="8"/>
    <x v="1"/>
    <x v="0"/>
    <x v="0"/>
    <x v="2"/>
    <x v="2"/>
    <n v="14"/>
    <x v="916"/>
    <x v="1"/>
    <x v="1"/>
    <x v="3"/>
    <n v="1"/>
  </r>
  <r>
    <x v="917"/>
    <n v="26"/>
    <x v="3"/>
    <x v="0"/>
    <x v="4"/>
    <x v="0"/>
    <x v="0"/>
    <n v="15"/>
    <x v="917"/>
    <x v="1"/>
    <x v="1"/>
    <x v="2"/>
    <n v="1"/>
  </r>
  <r>
    <x v="918"/>
    <n v="51"/>
    <x v="0"/>
    <x v="1"/>
    <x v="3"/>
    <x v="0"/>
    <x v="2"/>
    <n v="11"/>
    <x v="918"/>
    <x v="1"/>
    <x v="2"/>
    <x v="3"/>
    <n v="2"/>
  </r>
  <r>
    <x v="919"/>
    <n v="45"/>
    <x v="0"/>
    <x v="1"/>
    <x v="5"/>
    <x v="3"/>
    <x v="1"/>
    <n v="1"/>
    <x v="919"/>
    <x v="1"/>
    <x v="0"/>
    <x v="3"/>
    <n v="3"/>
  </r>
  <r>
    <x v="920"/>
    <n v="44"/>
    <x v="0"/>
    <x v="0"/>
    <x v="3"/>
    <x v="2"/>
    <x v="2"/>
    <n v="3"/>
    <x v="920"/>
    <x v="0"/>
    <x v="0"/>
    <x v="0"/>
    <n v="2"/>
  </r>
  <r>
    <x v="921"/>
    <n v="5"/>
    <x v="1"/>
    <x v="1"/>
    <x v="5"/>
    <x v="1"/>
    <x v="2"/>
    <n v="17"/>
    <x v="921"/>
    <x v="1"/>
    <x v="2"/>
    <x v="0"/>
    <n v="2"/>
  </r>
  <r>
    <x v="922"/>
    <n v="70"/>
    <x v="2"/>
    <x v="0"/>
    <x v="1"/>
    <x v="4"/>
    <x v="2"/>
    <n v="19"/>
    <x v="922"/>
    <x v="1"/>
    <x v="1"/>
    <x v="1"/>
    <n v="2"/>
  </r>
  <r>
    <x v="923"/>
    <n v="26"/>
    <x v="3"/>
    <x v="1"/>
    <x v="5"/>
    <x v="2"/>
    <x v="1"/>
    <n v="14"/>
    <x v="923"/>
    <x v="0"/>
    <x v="2"/>
    <x v="3"/>
    <n v="2"/>
  </r>
  <r>
    <x v="924"/>
    <n v="68"/>
    <x v="2"/>
    <x v="1"/>
    <x v="2"/>
    <x v="0"/>
    <x v="0"/>
    <n v="8"/>
    <x v="924"/>
    <x v="1"/>
    <x v="1"/>
    <x v="1"/>
    <n v="3"/>
  </r>
  <r>
    <x v="925"/>
    <n v="19"/>
    <x v="3"/>
    <x v="1"/>
    <x v="3"/>
    <x v="3"/>
    <x v="1"/>
    <n v="13"/>
    <x v="925"/>
    <x v="1"/>
    <x v="2"/>
    <x v="1"/>
    <n v="1"/>
  </r>
  <r>
    <x v="926"/>
    <n v="84"/>
    <x v="2"/>
    <x v="1"/>
    <x v="0"/>
    <x v="3"/>
    <x v="0"/>
    <n v="3"/>
    <x v="926"/>
    <x v="1"/>
    <x v="1"/>
    <x v="3"/>
    <n v="5"/>
  </r>
  <r>
    <x v="927"/>
    <n v="20"/>
    <x v="3"/>
    <x v="0"/>
    <x v="1"/>
    <x v="4"/>
    <x v="0"/>
    <n v="5"/>
    <x v="927"/>
    <x v="0"/>
    <x v="2"/>
    <x v="2"/>
    <n v="1"/>
  </r>
  <r>
    <x v="928"/>
    <n v="12"/>
    <x v="1"/>
    <x v="1"/>
    <x v="2"/>
    <x v="3"/>
    <x v="0"/>
    <n v="9"/>
    <x v="928"/>
    <x v="1"/>
    <x v="1"/>
    <x v="3"/>
    <n v="1"/>
  </r>
  <r>
    <x v="929"/>
    <n v="47"/>
    <x v="0"/>
    <x v="1"/>
    <x v="4"/>
    <x v="3"/>
    <x v="2"/>
    <n v="6"/>
    <x v="929"/>
    <x v="0"/>
    <x v="1"/>
    <x v="0"/>
    <n v="5"/>
  </r>
  <r>
    <x v="930"/>
    <n v="1"/>
    <x v="1"/>
    <x v="0"/>
    <x v="3"/>
    <x v="2"/>
    <x v="2"/>
    <n v="2"/>
    <x v="930"/>
    <x v="0"/>
    <x v="1"/>
    <x v="3"/>
    <n v="2"/>
  </r>
  <r>
    <x v="931"/>
    <n v="14"/>
    <x v="1"/>
    <x v="1"/>
    <x v="0"/>
    <x v="1"/>
    <x v="0"/>
    <n v="13"/>
    <x v="931"/>
    <x v="1"/>
    <x v="1"/>
    <x v="2"/>
    <n v="3"/>
  </r>
  <r>
    <x v="932"/>
    <n v="64"/>
    <x v="2"/>
    <x v="1"/>
    <x v="5"/>
    <x v="4"/>
    <x v="0"/>
    <n v="5"/>
    <x v="932"/>
    <x v="1"/>
    <x v="1"/>
    <x v="1"/>
    <n v="3"/>
  </r>
  <r>
    <x v="933"/>
    <n v="38"/>
    <x v="3"/>
    <x v="0"/>
    <x v="0"/>
    <x v="2"/>
    <x v="2"/>
    <n v="8"/>
    <x v="933"/>
    <x v="1"/>
    <x v="0"/>
    <x v="1"/>
    <n v="1"/>
  </r>
  <r>
    <x v="934"/>
    <n v="37"/>
    <x v="3"/>
    <x v="1"/>
    <x v="4"/>
    <x v="1"/>
    <x v="1"/>
    <n v="1"/>
    <x v="934"/>
    <x v="1"/>
    <x v="1"/>
    <x v="0"/>
    <n v="5"/>
  </r>
  <r>
    <x v="935"/>
    <n v="11"/>
    <x v="1"/>
    <x v="0"/>
    <x v="1"/>
    <x v="2"/>
    <x v="0"/>
    <n v="12"/>
    <x v="935"/>
    <x v="0"/>
    <x v="0"/>
    <x v="0"/>
    <n v="4"/>
  </r>
  <r>
    <x v="936"/>
    <n v="77"/>
    <x v="2"/>
    <x v="0"/>
    <x v="1"/>
    <x v="2"/>
    <x v="1"/>
    <n v="11"/>
    <x v="936"/>
    <x v="1"/>
    <x v="1"/>
    <x v="0"/>
    <n v="2"/>
  </r>
  <r>
    <x v="937"/>
    <n v="3"/>
    <x v="1"/>
    <x v="0"/>
    <x v="3"/>
    <x v="3"/>
    <x v="2"/>
    <n v="7"/>
    <x v="937"/>
    <x v="0"/>
    <x v="0"/>
    <x v="1"/>
    <n v="1"/>
  </r>
  <r>
    <x v="938"/>
    <n v="33"/>
    <x v="3"/>
    <x v="0"/>
    <x v="1"/>
    <x v="1"/>
    <x v="0"/>
    <n v="15"/>
    <x v="938"/>
    <x v="0"/>
    <x v="0"/>
    <x v="0"/>
    <n v="3"/>
  </r>
  <r>
    <x v="939"/>
    <n v="6"/>
    <x v="1"/>
    <x v="1"/>
    <x v="3"/>
    <x v="4"/>
    <x v="1"/>
    <n v="11"/>
    <x v="939"/>
    <x v="0"/>
    <x v="2"/>
    <x v="3"/>
    <n v="5"/>
  </r>
  <r>
    <x v="940"/>
    <n v="50"/>
    <x v="0"/>
    <x v="0"/>
    <x v="3"/>
    <x v="4"/>
    <x v="1"/>
    <n v="16"/>
    <x v="940"/>
    <x v="0"/>
    <x v="1"/>
    <x v="1"/>
    <n v="5"/>
  </r>
  <r>
    <x v="941"/>
    <n v="10"/>
    <x v="1"/>
    <x v="1"/>
    <x v="3"/>
    <x v="1"/>
    <x v="1"/>
    <n v="3"/>
    <x v="941"/>
    <x v="0"/>
    <x v="2"/>
    <x v="2"/>
    <n v="1"/>
  </r>
  <r>
    <x v="942"/>
    <n v="5"/>
    <x v="1"/>
    <x v="1"/>
    <x v="5"/>
    <x v="3"/>
    <x v="2"/>
    <n v="14"/>
    <x v="942"/>
    <x v="1"/>
    <x v="2"/>
    <x v="1"/>
    <n v="4"/>
  </r>
  <r>
    <x v="943"/>
    <n v="23"/>
    <x v="3"/>
    <x v="1"/>
    <x v="2"/>
    <x v="0"/>
    <x v="2"/>
    <n v="3"/>
    <x v="943"/>
    <x v="0"/>
    <x v="1"/>
    <x v="3"/>
    <n v="3"/>
  </r>
  <r>
    <x v="944"/>
    <n v="10"/>
    <x v="1"/>
    <x v="1"/>
    <x v="3"/>
    <x v="2"/>
    <x v="1"/>
    <n v="1"/>
    <x v="944"/>
    <x v="0"/>
    <x v="2"/>
    <x v="3"/>
    <n v="1"/>
  </r>
  <r>
    <x v="945"/>
    <n v="44"/>
    <x v="0"/>
    <x v="1"/>
    <x v="3"/>
    <x v="3"/>
    <x v="1"/>
    <n v="15"/>
    <x v="945"/>
    <x v="1"/>
    <x v="1"/>
    <x v="0"/>
    <n v="4"/>
  </r>
  <r>
    <x v="946"/>
    <n v="2"/>
    <x v="1"/>
    <x v="1"/>
    <x v="2"/>
    <x v="1"/>
    <x v="2"/>
    <n v="1"/>
    <x v="946"/>
    <x v="1"/>
    <x v="2"/>
    <x v="1"/>
    <n v="5"/>
  </r>
  <r>
    <x v="947"/>
    <n v="13"/>
    <x v="1"/>
    <x v="1"/>
    <x v="0"/>
    <x v="2"/>
    <x v="1"/>
    <n v="17"/>
    <x v="947"/>
    <x v="0"/>
    <x v="1"/>
    <x v="1"/>
    <n v="2"/>
  </r>
  <r>
    <x v="948"/>
    <n v="40"/>
    <x v="3"/>
    <x v="1"/>
    <x v="3"/>
    <x v="4"/>
    <x v="1"/>
    <n v="2"/>
    <x v="948"/>
    <x v="0"/>
    <x v="1"/>
    <x v="1"/>
    <n v="3"/>
  </r>
  <r>
    <x v="949"/>
    <n v="2"/>
    <x v="1"/>
    <x v="1"/>
    <x v="5"/>
    <x v="0"/>
    <x v="2"/>
    <n v="6"/>
    <x v="949"/>
    <x v="1"/>
    <x v="1"/>
    <x v="2"/>
    <n v="3"/>
  </r>
  <r>
    <x v="950"/>
    <n v="84"/>
    <x v="2"/>
    <x v="1"/>
    <x v="1"/>
    <x v="4"/>
    <x v="1"/>
    <n v="8"/>
    <x v="950"/>
    <x v="0"/>
    <x v="0"/>
    <x v="0"/>
    <n v="4"/>
  </r>
  <r>
    <x v="951"/>
    <n v="65"/>
    <x v="2"/>
    <x v="0"/>
    <x v="1"/>
    <x v="1"/>
    <x v="1"/>
    <n v="16"/>
    <x v="951"/>
    <x v="1"/>
    <x v="2"/>
    <x v="3"/>
    <n v="1"/>
  </r>
  <r>
    <x v="952"/>
    <n v="63"/>
    <x v="2"/>
    <x v="0"/>
    <x v="4"/>
    <x v="2"/>
    <x v="1"/>
    <n v="19"/>
    <x v="952"/>
    <x v="1"/>
    <x v="0"/>
    <x v="3"/>
    <n v="5"/>
  </r>
  <r>
    <x v="953"/>
    <n v="73"/>
    <x v="2"/>
    <x v="0"/>
    <x v="4"/>
    <x v="1"/>
    <x v="2"/>
    <n v="1"/>
    <x v="953"/>
    <x v="0"/>
    <x v="2"/>
    <x v="0"/>
    <n v="4"/>
  </r>
  <r>
    <x v="954"/>
    <n v="17"/>
    <x v="1"/>
    <x v="1"/>
    <x v="1"/>
    <x v="2"/>
    <x v="1"/>
    <n v="3"/>
    <x v="954"/>
    <x v="1"/>
    <x v="2"/>
    <x v="3"/>
    <n v="2"/>
  </r>
  <r>
    <x v="955"/>
    <n v="9"/>
    <x v="1"/>
    <x v="0"/>
    <x v="1"/>
    <x v="3"/>
    <x v="2"/>
    <n v="3"/>
    <x v="955"/>
    <x v="0"/>
    <x v="2"/>
    <x v="3"/>
    <n v="2"/>
  </r>
  <r>
    <x v="956"/>
    <n v="75"/>
    <x v="2"/>
    <x v="0"/>
    <x v="5"/>
    <x v="0"/>
    <x v="2"/>
    <n v="5"/>
    <x v="956"/>
    <x v="0"/>
    <x v="0"/>
    <x v="0"/>
    <n v="2"/>
  </r>
  <r>
    <x v="957"/>
    <n v="15"/>
    <x v="1"/>
    <x v="0"/>
    <x v="2"/>
    <x v="3"/>
    <x v="0"/>
    <n v="12"/>
    <x v="957"/>
    <x v="0"/>
    <x v="2"/>
    <x v="3"/>
    <n v="4"/>
  </r>
  <r>
    <x v="958"/>
    <n v="24"/>
    <x v="3"/>
    <x v="1"/>
    <x v="4"/>
    <x v="3"/>
    <x v="0"/>
    <n v="12"/>
    <x v="958"/>
    <x v="1"/>
    <x v="0"/>
    <x v="1"/>
    <n v="5"/>
  </r>
  <r>
    <x v="959"/>
    <n v="38"/>
    <x v="3"/>
    <x v="1"/>
    <x v="2"/>
    <x v="1"/>
    <x v="1"/>
    <n v="13"/>
    <x v="959"/>
    <x v="0"/>
    <x v="1"/>
    <x v="2"/>
    <n v="3"/>
  </r>
  <r>
    <x v="960"/>
    <n v="35"/>
    <x v="3"/>
    <x v="1"/>
    <x v="5"/>
    <x v="0"/>
    <x v="2"/>
    <n v="9"/>
    <x v="960"/>
    <x v="1"/>
    <x v="2"/>
    <x v="0"/>
    <n v="1"/>
  </r>
  <r>
    <x v="961"/>
    <n v="49"/>
    <x v="0"/>
    <x v="1"/>
    <x v="1"/>
    <x v="2"/>
    <x v="0"/>
    <n v="7"/>
    <x v="961"/>
    <x v="0"/>
    <x v="2"/>
    <x v="2"/>
    <n v="3"/>
  </r>
  <r>
    <x v="962"/>
    <n v="69"/>
    <x v="2"/>
    <x v="0"/>
    <x v="3"/>
    <x v="2"/>
    <x v="1"/>
    <n v="4"/>
    <x v="962"/>
    <x v="0"/>
    <x v="1"/>
    <x v="3"/>
    <n v="5"/>
  </r>
  <r>
    <x v="963"/>
    <n v="62"/>
    <x v="2"/>
    <x v="0"/>
    <x v="2"/>
    <x v="4"/>
    <x v="0"/>
    <n v="19"/>
    <x v="963"/>
    <x v="1"/>
    <x v="1"/>
    <x v="3"/>
    <n v="3"/>
  </r>
  <r>
    <x v="964"/>
    <n v="60"/>
    <x v="0"/>
    <x v="0"/>
    <x v="1"/>
    <x v="2"/>
    <x v="0"/>
    <n v="19"/>
    <x v="964"/>
    <x v="0"/>
    <x v="2"/>
    <x v="1"/>
    <n v="4"/>
  </r>
  <r>
    <x v="965"/>
    <n v="50"/>
    <x v="0"/>
    <x v="0"/>
    <x v="1"/>
    <x v="1"/>
    <x v="2"/>
    <n v="6"/>
    <x v="965"/>
    <x v="0"/>
    <x v="1"/>
    <x v="0"/>
    <n v="2"/>
  </r>
  <r>
    <x v="966"/>
    <n v="78"/>
    <x v="2"/>
    <x v="1"/>
    <x v="0"/>
    <x v="3"/>
    <x v="2"/>
    <n v="13"/>
    <x v="966"/>
    <x v="1"/>
    <x v="0"/>
    <x v="3"/>
    <n v="5"/>
  </r>
  <r>
    <x v="967"/>
    <n v="75"/>
    <x v="2"/>
    <x v="1"/>
    <x v="2"/>
    <x v="3"/>
    <x v="0"/>
    <n v="11"/>
    <x v="967"/>
    <x v="1"/>
    <x v="0"/>
    <x v="0"/>
    <n v="5"/>
  </r>
  <r>
    <x v="968"/>
    <n v="9"/>
    <x v="1"/>
    <x v="1"/>
    <x v="3"/>
    <x v="3"/>
    <x v="0"/>
    <n v="13"/>
    <x v="968"/>
    <x v="1"/>
    <x v="2"/>
    <x v="0"/>
    <n v="3"/>
  </r>
  <r>
    <x v="969"/>
    <n v="34"/>
    <x v="3"/>
    <x v="0"/>
    <x v="2"/>
    <x v="0"/>
    <x v="2"/>
    <n v="13"/>
    <x v="969"/>
    <x v="0"/>
    <x v="0"/>
    <x v="0"/>
    <n v="4"/>
  </r>
  <r>
    <x v="970"/>
    <n v="76"/>
    <x v="2"/>
    <x v="1"/>
    <x v="1"/>
    <x v="2"/>
    <x v="1"/>
    <n v="15"/>
    <x v="970"/>
    <x v="1"/>
    <x v="0"/>
    <x v="0"/>
    <n v="3"/>
  </r>
  <r>
    <x v="971"/>
    <n v="35"/>
    <x v="3"/>
    <x v="1"/>
    <x v="3"/>
    <x v="1"/>
    <x v="2"/>
    <n v="13"/>
    <x v="971"/>
    <x v="1"/>
    <x v="2"/>
    <x v="0"/>
    <n v="3"/>
  </r>
  <r>
    <x v="972"/>
    <n v="1"/>
    <x v="1"/>
    <x v="0"/>
    <x v="5"/>
    <x v="0"/>
    <x v="0"/>
    <n v="11"/>
    <x v="972"/>
    <x v="0"/>
    <x v="1"/>
    <x v="2"/>
    <n v="5"/>
  </r>
  <r>
    <x v="973"/>
    <n v="40"/>
    <x v="3"/>
    <x v="0"/>
    <x v="0"/>
    <x v="4"/>
    <x v="1"/>
    <n v="19"/>
    <x v="973"/>
    <x v="1"/>
    <x v="2"/>
    <x v="1"/>
    <n v="3"/>
  </r>
  <r>
    <x v="974"/>
    <n v="64"/>
    <x v="2"/>
    <x v="1"/>
    <x v="1"/>
    <x v="1"/>
    <x v="0"/>
    <n v="8"/>
    <x v="974"/>
    <x v="0"/>
    <x v="0"/>
    <x v="0"/>
    <n v="2"/>
  </r>
  <r>
    <x v="975"/>
    <n v="22"/>
    <x v="3"/>
    <x v="1"/>
    <x v="4"/>
    <x v="1"/>
    <x v="1"/>
    <n v="8"/>
    <x v="975"/>
    <x v="0"/>
    <x v="2"/>
    <x v="2"/>
    <n v="3"/>
  </r>
  <r>
    <x v="976"/>
    <n v="60"/>
    <x v="0"/>
    <x v="1"/>
    <x v="4"/>
    <x v="1"/>
    <x v="0"/>
    <n v="10"/>
    <x v="976"/>
    <x v="1"/>
    <x v="2"/>
    <x v="3"/>
    <n v="2"/>
  </r>
  <r>
    <x v="977"/>
    <n v="64"/>
    <x v="2"/>
    <x v="1"/>
    <x v="0"/>
    <x v="3"/>
    <x v="1"/>
    <n v="16"/>
    <x v="977"/>
    <x v="0"/>
    <x v="0"/>
    <x v="0"/>
    <n v="5"/>
  </r>
  <r>
    <x v="978"/>
    <n v="72"/>
    <x v="2"/>
    <x v="1"/>
    <x v="5"/>
    <x v="1"/>
    <x v="1"/>
    <n v="19"/>
    <x v="978"/>
    <x v="1"/>
    <x v="0"/>
    <x v="3"/>
    <n v="4"/>
  </r>
  <r>
    <x v="979"/>
    <n v="11"/>
    <x v="1"/>
    <x v="1"/>
    <x v="1"/>
    <x v="2"/>
    <x v="0"/>
    <n v="11"/>
    <x v="979"/>
    <x v="1"/>
    <x v="2"/>
    <x v="0"/>
    <n v="2"/>
  </r>
  <r>
    <x v="980"/>
    <n v="14"/>
    <x v="1"/>
    <x v="0"/>
    <x v="2"/>
    <x v="1"/>
    <x v="1"/>
    <n v="13"/>
    <x v="980"/>
    <x v="1"/>
    <x v="0"/>
    <x v="2"/>
    <n v="4"/>
  </r>
  <r>
    <x v="981"/>
    <n v="60"/>
    <x v="0"/>
    <x v="0"/>
    <x v="0"/>
    <x v="3"/>
    <x v="2"/>
    <n v="9"/>
    <x v="981"/>
    <x v="1"/>
    <x v="0"/>
    <x v="2"/>
    <n v="4"/>
  </r>
  <r>
    <x v="982"/>
    <n v="30"/>
    <x v="3"/>
    <x v="0"/>
    <x v="5"/>
    <x v="1"/>
    <x v="0"/>
    <n v="19"/>
    <x v="982"/>
    <x v="0"/>
    <x v="0"/>
    <x v="2"/>
    <n v="2"/>
  </r>
  <r>
    <x v="983"/>
    <n v="35"/>
    <x v="3"/>
    <x v="1"/>
    <x v="2"/>
    <x v="4"/>
    <x v="2"/>
    <n v="16"/>
    <x v="983"/>
    <x v="0"/>
    <x v="0"/>
    <x v="1"/>
    <n v="5"/>
  </r>
  <r>
    <x v="984"/>
    <n v="85"/>
    <x v="2"/>
    <x v="0"/>
    <x v="4"/>
    <x v="4"/>
    <x v="0"/>
    <n v="7"/>
    <x v="984"/>
    <x v="1"/>
    <x v="0"/>
    <x v="3"/>
    <n v="1"/>
  </r>
  <r>
    <x v="985"/>
    <n v="37"/>
    <x v="3"/>
    <x v="1"/>
    <x v="4"/>
    <x v="3"/>
    <x v="1"/>
    <n v="19"/>
    <x v="985"/>
    <x v="1"/>
    <x v="0"/>
    <x v="1"/>
    <n v="4"/>
  </r>
  <r>
    <x v="986"/>
    <n v="5"/>
    <x v="1"/>
    <x v="1"/>
    <x v="2"/>
    <x v="2"/>
    <x v="1"/>
    <n v="12"/>
    <x v="986"/>
    <x v="0"/>
    <x v="1"/>
    <x v="0"/>
    <n v="4"/>
  </r>
  <r>
    <x v="987"/>
    <n v="83"/>
    <x v="2"/>
    <x v="0"/>
    <x v="0"/>
    <x v="2"/>
    <x v="1"/>
    <n v="15"/>
    <x v="987"/>
    <x v="1"/>
    <x v="2"/>
    <x v="3"/>
    <n v="5"/>
  </r>
  <r>
    <x v="988"/>
    <n v="78"/>
    <x v="2"/>
    <x v="1"/>
    <x v="4"/>
    <x v="0"/>
    <x v="0"/>
    <n v="14"/>
    <x v="988"/>
    <x v="0"/>
    <x v="0"/>
    <x v="2"/>
    <n v="5"/>
  </r>
  <r>
    <x v="989"/>
    <n v="26"/>
    <x v="3"/>
    <x v="1"/>
    <x v="1"/>
    <x v="3"/>
    <x v="2"/>
    <n v="11"/>
    <x v="989"/>
    <x v="1"/>
    <x v="2"/>
    <x v="3"/>
    <n v="3"/>
  </r>
  <r>
    <x v="990"/>
    <n v="62"/>
    <x v="2"/>
    <x v="0"/>
    <x v="3"/>
    <x v="1"/>
    <x v="2"/>
    <n v="10"/>
    <x v="990"/>
    <x v="0"/>
    <x v="1"/>
    <x v="2"/>
    <n v="5"/>
  </r>
  <r>
    <x v="991"/>
    <n v="4"/>
    <x v="1"/>
    <x v="0"/>
    <x v="2"/>
    <x v="3"/>
    <x v="0"/>
    <n v="11"/>
    <x v="991"/>
    <x v="0"/>
    <x v="0"/>
    <x v="1"/>
    <n v="4"/>
  </r>
  <r>
    <x v="992"/>
    <n v="89"/>
    <x v="2"/>
    <x v="0"/>
    <x v="2"/>
    <x v="0"/>
    <x v="0"/>
    <n v="6"/>
    <x v="992"/>
    <x v="0"/>
    <x v="2"/>
    <x v="1"/>
    <n v="2"/>
  </r>
  <r>
    <x v="993"/>
    <n v="42"/>
    <x v="0"/>
    <x v="1"/>
    <x v="4"/>
    <x v="3"/>
    <x v="2"/>
    <n v="2"/>
    <x v="993"/>
    <x v="1"/>
    <x v="0"/>
    <x v="2"/>
    <n v="1"/>
  </r>
  <r>
    <x v="994"/>
    <n v="89"/>
    <x v="2"/>
    <x v="0"/>
    <x v="0"/>
    <x v="3"/>
    <x v="2"/>
    <n v="11"/>
    <x v="994"/>
    <x v="1"/>
    <x v="0"/>
    <x v="2"/>
    <n v="3"/>
  </r>
  <r>
    <x v="995"/>
    <n v="18"/>
    <x v="1"/>
    <x v="0"/>
    <x v="1"/>
    <x v="0"/>
    <x v="2"/>
    <n v="19"/>
    <x v="995"/>
    <x v="1"/>
    <x v="0"/>
    <x v="0"/>
    <n v="2"/>
  </r>
  <r>
    <x v="996"/>
    <n v="40"/>
    <x v="3"/>
    <x v="1"/>
    <x v="0"/>
    <x v="2"/>
    <x v="2"/>
    <n v="6"/>
    <x v="996"/>
    <x v="1"/>
    <x v="0"/>
    <x v="1"/>
    <n v="1"/>
  </r>
  <r>
    <x v="997"/>
    <n v="72"/>
    <x v="2"/>
    <x v="0"/>
    <x v="5"/>
    <x v="1"/>
    <x v="0"/>
    <n v="14"/>
    <x v="997"/>
    <x v="1"/>
    <x v="0"/>
    <x v="1"/>
    <n v="1"/>
  </r>
  <r>
    <x v="998"/>
    <n v="39"/>
    <x v="3"/>
    <x v="0"/>
    <x v="5"/>
    <x v="0"/>
    <x v="0"/>
    <n v="6"/>
    <x v="998"/>
    <x v="0"/>
    <x v="0"/>
    <x v="0"/>
    <n v="1"/>
  </r>
  <r>
    <x v="999"/>
    <n v="14"/>
    <x v="1"/>
    <x v="0"/>
    <x v="3"/>
    <x v="4"/>
    <x v="1"/>
    <n v="17"/>
    <x v="999"/>
    <x v="0"/>
    <x v="0"/>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C6EC37-1744-44A9-98D4-43F174192B9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9:AQ12" firstHeaderRow="1" firstDataRow="1" firstDataCol="1"/>
  <pivotFields count="13">
    <pivotField showAll="0"/>
    <pivotField showAll="0"/>
    <pivotField showAll="0"/>
    <pivotField showAll="0">
      <items count="3">
        <item x="0"/>
        <item x="1"/>
        <item t="default"/>
      </items>
    </pivotField>
    <pivotField showAll="0">
      <items count="7">
        <item x="0"/>
        <item x="5"/>
        <item x="4"/>
        <item x="3"/>
        <item x="2"/>
        <item x="1"/>
        <item t="default"/>
      </items>
    </pivotField>
    <pivotField showAll="0"/>
    <pivotField showAll="0">
      <items count="4">
        <item x="0"/>
        <item x="2"/>
        <item x="1"/>
        <item t="default"/>
      </items>
    </pivotField>
    <pivotField showAll="0"/>
    <pivotField dataField="1" showAll="0"/>
    <pivotField axis="axisRow" showAll="0">
      <items count="3">
        <item x="0"/>
        <item x="1"/>
        <item t="default"/>
      </items>
    </pivotField>
    <pivotField showAll="0"/>
    <pivotField showAll="0"/>
    <pivotField showAll="0"/>
  </pivotFields>
  <rowFields count="1">
    <field x="9"/>
  </rowFields>
  <rowItems count="3">
    <i>
      <x/>
    </i>
    <i>
      <x v="1"/>
    </i>
    <i t="grand">
      <x/>
    </i>
  </rowItems>
  <colItems count="1">
    <i/>
  </colItems>
  <dataFields count="1">
    <dataField name="Sum of Treatment_Cost" fld="8"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514BC1-DB55-4031-8F5F-D5D28813796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7:P50" firstHeaderRow="1" firstDataRow="1" firstDataCol="1"/>
  <pivotFields count="13">
    <pivotField showAll="0"/>
    <pivotField showAll="0"/>
    <pivotField showAll="0"/>
    <pivotField showAll="0">
      <items count="3">
        <item x="0"/>
        <item x="1"/>
        <item t="default"/>
      </items>
    </pivotField>
    <pivotField showAll="0"/>
    <pivotField showAll="0"/>
    <pivotField showAll="0">
      <items count="4">
        <item x="0"/>
        <item x="2"/>
        <item x="1"/>
        <item t="default"/>
      </items>
    </pivotField>
    <pivotField showAll="0"/>
    <pivotField showAll="0"/>
    <pivotField axis="axisRow" showAll="0">
      <items count="3">
        <item x="0"/>
        <item x="1"/>
        <item t="default"/>
      </items>
    </pivotField>
    <pivotField showAll="0"/>
    <pivotField showAll="0"/>
    <pivotField showAll="0"/>
  </pivotFields>
  <rowFields count="1">
    <field x="9"/>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4A8442-4854-4467-B652-A4C156E7CB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V9:W14" firstHeaderRow="1" firstDataRow="1" firstDataCol="1"/>
  <pivotFields count="13">
    <pivotField dataField="1" showAll="0"/>
    <pivotField showAll="0"/>
    <pivotField axis="axisRow" showAll="0">
      <items count="5">
        <item x="1"/>
        <item x="3"/>
        <item x="0"/>
        <item x="2"/>
        <item t="default"/>
      </items>
    </pivotField>
    <pivotField showAll="0">
      <items count="3">
        <item x="0"/>
        <item x="1"/>
        <item t="default"/>
      </items>
    </pivotField>
    <pivotField showAll="0">
      <items count="7">
        <item x="0"/>
        <item x="5"/>
        <item x="4"/>
        <item x="3"/>
        <item x="2"/>
        <item x="1"/>
        <item t="default"/>
      </items>
    </pivotField>
    <pivotField showAll="0"/>
    <pivotField showAll="0">
      <items count="4">
        <item x="0"/>
        <item x="2"/>
        <item x="1"/>
        <item t="default"/>
      </items>
    </pivotField>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Patient_ID" fld="0" subtotal="count" baseField="0" baseItem="0"/>
  </dataFields>
  <chartFormats count="2">
    <chartFormat chart="20" format="0"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CC32C5-3394-41C2-9DAA-4F9A254003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8">
  <location ref="Y9:Z16" firstHeaderRow="1" firstDataRow="1" firstDataCol="1"/>
  <pivotFields count="13">
    <pivotField dataField="1" showAll="0"/>
    <pivotField showAll="0"/>
    <pivotField showAll="0"/>
    <pivotField showAll="0">
      <items count="3">
        <item x="0"/>
        <item x="1"/>
        <item t="default"/>
      </items>
    </pivotField>
    <pivotField axis="axisRow" showAll="0">
      <items count="7">
        <item x="0"/>
        <item x="5"/>
        <item x="4"/>
        <item x="3"/>
        <item x="2"/>
        <item x="1"/>
        <item t="default"/>
      </items>
    </pivotField>
    <pivotField showAll="0"/>
    <pivotField showAll="0">
      <items count="4">
        <item x="0"/>
        <item x="2"/>
        <item x="1"/>
        <item t="default"/>
      </items>
    </pivotField>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Patient_ID" fld="0" subtotal="count" baseField="4" baseItem="0"/>
  </dataFields>
  <chartFormats count="10">
    <chartFormat chart="19"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49" format="8" series="1">
      <pivotArea type="data" outline="0" fieldPosition="0">
        <references count="1">
          <reference field="4294967294" count="1" selected="0">
            <x v="0"/>
          </reference>
        </references>
      </pivotArea>
    </chartFormat>
    <chartFormat chart="50" format="8" series="1">
      <pivotArea type="data" outline="0" fieldPosition="0">
        <references count="1">
          <reference field="4294967294" count="1" selected="0">
            <x v="0"/>
          </reference>
        </references>
      </pivotArea>
    </chartFormat>
    <chartFormat chart="51" format="8" series="1">
      <pivotArea type="data" outline="0" fieldPosition="0">
        <references count="1">
          <reference field="4294967294" count="1" selected="0">
            <x v="0"/>
          </reference>
        </references>
      </pivotArea>
    </chartFormat>
    <chartFormat chart="52" format="8" series="1">
      <pivotArea type="data" outline="0" fieldPosition="0">
        <references count="1">
          <reference field="4294967294" count="1" selected="0">
            <x v="0"/>
          </reference>
        </references>
      </pivotArea>
    </chartFormat>
    <chartFormat chart="56" format="7" series="1">
      <pivotArea type="data" outline="0" fieldPosition="0">
        <references count="1">
          <reference field="4294967294" count="1" selected="0">
            <x v="0"/>
          </reference>
        </references>
      </pivotArea>
    </chartFormat>
    <chartFormat chart="6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5825BB-CBCD-469F-A4D7-38535B050B2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6:R50" firstHeaderRow="1" firstDataRow="1" firstDataCol="1"/>
  <pivotFields count="13">
    <pivotField showAll="0"/>
    <pivotField showAll="0"/>
    <pivotField showAll="0"/>
    <pivotField showAll="0">
      <items count="3">
        <item x="0"/>
        <item x="1"/>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pivotFields>
  <rowFields count="1">
    <field x="6"/>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906883-45C8-4415-9ABB-4F3D357B38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S9:T12" firstHeaderRow="1" firstDataRow="1" firstDataCol="1"/>
  <pivotFields count="13">
    <pivotField dataField="1" showAll="0"/>
    <pivotField showAll="0"/>
    <pivotField showAll="0"/>
    <pivotField axis="axisRow" showAll="0">
      <items count="3">
        <item x="0"/>
        <item x="1"/>
        <item t="default"/>
      </items>
    </pivotField>
    <pivotField showAll="0">
      <items count="7">
        <item x="0"/>
        <item x="5"/>
        <item x="4"/>
        <item x="3"/>
        <item x="2"/>
        <item x="1"/>
        <item t="default"/>
      </items>
    </pivotField>
    <pivotField showAll="0"/>
    <pivotField showAll="0">
      <items count="4">
        <item x="0"/>
        <item x="2"/>
        <item x="1"/>
        <item t="default"/>
      </items>
    </pivotField>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Patient_ID" fld="0" subtotal="count" baseField="2" baseItem="0"/>
  </dataFields>
  <chartFormats count="2">
    <chartFormat chart="21" format="4"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965CDD-C80A-4118-9303-038911A9A11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Q26:AR30" firstHeaderRow="1" firstDataRow="1" firstDataCol="1"/>
  <pivotFields count="13">
    <pivotField dataField="1" showAll="0"/>
    <pivotField showAll="0"/>
    <pivotField showAll="0"/>
    <pivotField showAll="0">
      <items count="3">
        <item x="0"/>
        <item x="1"/>
        <item t="default"/>
      </items>
    </pivotField>
    <pivotField showAll="0">
      <items count="7">
        <item x="0"/>
        <item x="5"/>
        <item x="4"/>
        <item x="3"/>
        <item x="2"/>
        <item x="1"/>
        <item t="default"/>
      </items>
    </pivotField>
    <pivotField showAll="0"/>
    <pivotField showAll="0">
      <items count="4">
        <item x="0"/>
        <item x="2"/>
        <item x="1"/>
        <item t="default"/>
      </items>
    </pivotField>
    <pivotField showAll="0"/>
    <pivotField showAll="0"/>
    <pivotField showAll="0"/>
    <pivotField axis="axisRow" showAll="0">
      <items count="4">
        <item x="0"/>
        <item x="2"/>
        <item x="1"/>
        <item t="default"/>
      </items>
    </pivotField>
    <pivotField showAll="0"/>
    <pivotField showAll="0"/>
  </pivotFields>
  <rowFields count="1">
    <field x="10"/>
  </rowFields>
  <rowItems count="4">
    <i>
      <x/>
    </i>
    <i>
      <x v="1"/>
    </i>
    <i>
      <x v="2"/>
    </i>
    <i t="grand">
      <x/>
    </i>
  </rowItems>
  <colItems count="1">
    <i/>
  </colItems>
  <dataFields count="1">
    <dataField name="Payment Mode Distrubution" fld="0" subtotal="count" baseField="10" baseItem="0"/>
  </dataFields>
  <chartFormats count="4">
    <chartFormat chart="20" format="29" series="1">
      <pivotArea type="data" outline="0" fieldPosition="0">
        <references count="1">
          <reference field="4294967294" count="1" selected="0">
            <x v="0"/>
          </reference>
        </references>
      </pivotArea>
    </chartFormat>
    <chartFormat chart="20" format="30">
      <pivotArea type="data" outline="0" fieldPosition="0">
        <references count="2">
          <reference field="4294967294" count="1" selected="0">
            <x v="0"/>
          </reference>
          <reference field="10" count="1" selected="0">
            <x v="0"/>
          </reference>
        </references>
      </pivotArea>
    </chartFormat>
    <chartFormat chart="20" format="31">
      <pivotArea type="data" outline="0" fieldPosition="0">
        <references count="2">
          <reference field="4294967294" count="1" selected="0">
            <x v="0"/>
          </reference>
          <reference field="10" count="1" selected="0">
            <x v="1"/>
          </reference>
        </references>
      </pivotArea>
    </chartFormat>
    <chartFormat chart="20" format="32">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76CFB1-A8D1-46B7-9E4C-8B56D6B8C56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0:O27" firstHeaderRow="1" firstDataRow="1" firstDataCol="1"/>
  <pivotFields count="13">
    <pivotField showAll="0"/>
    <pivotField showAll="0"/>
    <pivotField showAll="0"/>
    <pivotField showAll="0">
      <items count="3">
        <item x="0"/>
        <item x="1"/>
        <item t="default"/>
      </items>
    </pivotField>
    <pivotField axis="axisRow" showAll="0">
      <items count="7">
        <item x="0"/>
        <item x="5"/>
        <item x="4"/>
        <item x="3"/>
        <item x="2"/>
        <item x="1"/>
        <item t="default"/>
      </items>
    </pivotField>
    <pivotField showAll="0"/>
    <pivotField showAll="0">
      <items count="4">
        <item x="0"/>
        <item x="2"/>
        <item x="1"/>
        <item t="default"/>
      </items>
    </pivotField>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232DA3-E434-4630-9505-FADC6F1AD02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M25:AN28" firstHeaderRow="1" firstDataRow="1" firstDataCol="1"/>
  <pivotFields count="13">
    <pivotField showAll="0"/>
    <pivotField showAll="0"/>
    <pivotField showAll="0"/>
    <pivotField showAll="0">
      <items count="3">
        <item x="0"/>
        <item x="1"/>
        <item t="default"/>
      </items>
    </pivotField>
    <pivotField showAll="0"/>
    <pivotField showAll="0"/>
    <pivotField showAll="0">
      <items count="4">
        <item x="0"/>
        <item x="2"/>
        <item x="1"/>
        <item t="default"/>
      </items>
    </pivotField>
    <pivotField showAll="0"/>
    <pivotField dataField="1" showAll="0"/>
    <pivotField axis="axisRow" showAll="0">
      <items count="3">
        <item x="0"/>
        <item x="1"/>
        <item t="default"/>
      </items>
    </pivotField>
    <pivotField showAll="0"/>
    <pivotField showAll="0"/>
    <pivotField showAll="0"/>
  </pivotFields>
  <rowFields count="1">
    <field x="9"/>
  </rowFields>
  <rowItems count="3">
    <i>
      <x/>
    </i>
    <i>
      <x v="1"/>
    </i>
    <i t="grand">
      <x/>
    </i>
  </rowItems>
  <colItems count="1">
    <i/>
  </colItems>
  <dataFields count="1">
    <dataField name="insurance vs Non insurance Revenue" fld="8" baseField="9" baseItem="0"/>
  </dataFields>
  <chartFormats count="3">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9" count="1" selected="0">
            <x v="0"/>
          </reference>
        </references>
      </pivotArea>
    </chartFormat>
    <chartFormat chart="19" format="1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7FC878-DF52-4FC7-A173-6671DCF1431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G9:AH15" firstHeaderRow="1" firstDataRow="1" firstDataCol="1"/>
  <pivotFields count="13">
    <pivotField dataField="1" showAll="0"/>
    <pivotField showAll="0"/>
    <pivotField showAll="0"/>
    <pivotField showAll="0">
      <items count="3">
        <item x="0"/>
        <item x="1"/>
        <item t="default"/>
      </items>
    </pivotField>
    <pivotField showAll="0">
      <items count="7">
        <item x="0"/>
        <item x="5"/>
        <item x="4"/>
        <item x="3"/>
        <item x="2"/>
        <item x="1"/>
        <item t="default"/>
      </items>
    </pivotField>
    <pivotField axis="axisRow" showAll="0">
      <items count="6">
        <item x="3"/>
        <item x="4"/>
        <item x="0"/>
        <item x="2"/>
        <item x="1"/>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Patient_ID" fld="0" subtotal="countNums" baseField="5" baseItem="0"/>
  </dataFields>
  <chartFormats count="2">
    <chartFormat chart="31" format="0"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2B2DD2-E9C5-43D2-93E9-7D7E59F311F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9:AK15" firstHeaderRow="1" firstDataRow="1" firstDataCol="1"/>
  <pivotFields count="13">
    <pivotField showAll="0"/>
    <pivotField showAll="0"/>
    <pivotField showAll="0"/>
    <pivotField showAll="0">
      <items count="3">
        <item x="0"/>
        <item x="1"/>
        <item t="default"/>
      </items>
    </pivotField>
    <pivotField showAll="0">
      <items count="7">
        <item x="0"/>
        <item x="5"/>
        <item x="4"/>
        <item x="3"/>
        <item x="2"/>
        <item x="1"/>
        <item t="default"/>
      </items>
    </pivotField>
    <pivotField axis="axisRow" showAll="0">
      <items count="6">
        <item x="3"/>
        <item x="4"/>
        <item x="0"/>
        <item x="2"/>
        <item x="1"/>
        <item t="default"/>
      </items>
    </pivotField>
    <pivotField showAll="0">
      <items count="4">
        <item x="0"/>
        <item x="2"/>
        <item x="1"/>
        <item t="default"/>
      </items>
    </pivotField>
    <pivotField showAll="0"/>
    <pivotField showAll="0"/>
    <pivotField showAll="0"/>
    <pivotField showAll="0"/>
    <pivotField showAll="0"/>
    <pivotField dataField="1" showAll="0"/>
  </pivotFields>
  <rowFields count="1">
    <field x="5"/>
  </rowFields>
  <rowItems count="6">
    <i>
      <x/>
    </i>
    <i>
      <x v="1"/>
    </i>
    <i>
      <x v="2"/>
    </i>
    <i>
      <x v="3"/>
    </i>
    <i>
      <x v="4"/>
    </i>
    <i t="grand">
      <x/>
    </i>
  </rowItems>
  <colItems count="1">
    <i/>
  </colItems>
  <dataFields count="1">
    <dataField name="Average of Rating" fld="12"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8E6168-4326-4CBC-BDE7-4EDC69749F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9:AE16" firstHeaderRow="1" firstDataRow="1" firstDataCol="1"/>
  <pivotFields count="13">
    <pivotField showAll="0"/>
    <pivotField showAll="0"/>
    <pivotField showAll="0"/>
    <pivotField showAll="0">
      <items count="3">
        <item x="0"/>
        <item x="1"/>
        <item t="default"/>
      </items>
    </pivotField>
    <pivotField axis="axisRow" showAll="0">
      <items count="7">
        <item sd="0" x="0"/>
        <item sd="0" x="5"/>
        <item sd="0" x="4"/>
        <item sd="0" x="3"/>
        <item sd="0" x="2"/>
        <item sd="0" x="1"/>
        <item t="default"/>
      </items>
    </pivotField>
    <pivotField showAll="0"/>
    <pivotField showAll="0">
      <items count="4">
        <item x="0"/>
        <item x="2"/>
        <item x="1"/>
        <item t="default"/>
      </items>
    </pivotField>
    <pivotField showAll="0"/>
    <pivotField showAll="0"/>
    <pivotField showAll="0"/>
    <pivotField showAll="0"/>
    <pivotField axis="axisRow" showAll="0">
      <items count="5">
        <item x="1"/>
        <item x="0"/>
        <item x="3"/>
        <item x="2"/>
        <item t="default"/>
      </items>
    </pivotField>
    <pivotField showAll="0"/>
  </pivotFields>
  <rowFields count="2">
    <field x="4"/>
    <field x="11"/>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DB68C6-6D8D-4FA9-B113-F98C281DCAA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E22:AJ30" firstHeaderRow="1" firstDataRow="2" firstDataCol="1"/>
  <pivotFields count="13">
    <pivotField dataField="1" showAll="0"/>
    <pivotField showAll="0"/>
    <pivotField showAll="0"/>
    <pivotField showAll="0">
      <items count="3">
        <item x="0"/>
        <item x="1"/>
        <item t="default"/>
      </items>
    </pivotField>
    <pivotField axis="axisRow" showAll="0">
      <items count="7">
        <item x="0"/>
        <item x="5"/>
        <item x="4"/>
        <item x="3"/>
        <item x="2"/>
        <item x="1"/>
        <item t="default"/>
      </items>
    </pivotField>
    <pivotField showAll="0"/>
    <pivotField showAll="0">
      <items count="4">
        <item x="0"/>
        <item x="2"/>
        <item x="1"/>
        <item t="default"/>
      </items>
    </pivotField>
    <pivotField showAll="0"/>
    <pivotField showAll="0"/>
    <pivotField showAll="0"/>
    <pivotField showAll="0"/>
    <pivotField axis="axisCol" showAll="0">
      <items count="5">
        <item x="1"/>
        <item x="0"/>
        <item x="3"/>
        <item x="2"/>
        <item t="default"/>
      </items>
    </pivotField>
    <pivotField showAll="0"/>
  </pivotFields>
  <rowFields count="1">
    <field x="4"/>
  </rowFields>
  <rowItems count="7">
    <i>
      <x/>
    </i>
    <i>
      <x v="1"/>
    </i>
    <i>
      <x v="2"/>
    </i>
    <i>
      <x v="3"/>
    </i>
    <i>
      <x v="4"/>
    </i>
    <i>
      <x v="5"/>
    </i>
    <i t="grand">
      <x/>
    </i>
  </rowItems>
  <colFields count="1">
    <field x="11"/>
  </colFields>
  <colItems count="5">
    <i>
      <x/>
    </i>
    <i>
      <x v="1"/>
    </i>
    <i>
      <x v="2"/>
    </i>
    <i>
      <x v="3"/>
    </i>
    <i t="grand">
      <x/>
    </i>
  </colItems>
  <dataFields count="1">
    <dataField name="Count of Patient_ID" fld="0" subtotal="count" baseField="4" baseItem="0"/>
  </dataFields>
  <chartFormats count="4">
    <chartFormat chart="16" format="24" series="1">
      <pivotArea type="data" outline="0" fieldPosition="0">
        <references count="2">
          <reference field="4294967294" count="1" selected="0">
            <x v="0"/>
          </reference>
          <reference field="11" count="1" selected="0">
            <x v="0"/>
          </reference>
        </references>
      </pivotArea>
    </chartFormat>
    <chartFormat chart="16" format="25" series="1">
      <pivotArea type="data" outline="0" fieldPosition="0">
        <references count="2">
          <reference field="4294967294" count="1" selected="0">
            <x v="0"/>
          </reference>
          <reference field="11" count="1" selected="0">
            <x v="1"/>
          </reference>
        </references>
      </pivotArea>
    </chartFormat>
    <chartFormat chart="16" format="26" series="1">
      <pivotArea type="data" outline="0" fieldPosition="0">
        <references count="2">
          <reference field="4294967294" count="1" selected="0">
            <x v="0"/>
          </reference>
          <reference field="11" count="1" selected="0">
            <x v="2"/>
          </reference>
        </references>
      </pivotArea>
    </chartFormat>
    <chartFormat chart="16" format="27"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97EF20C-A027-4DE4-85F7-63E6CC4789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W8:AX15"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0"/>
        <item x="1"/>
        <item t="default"/>
      </items>
    </pivotField>
    <pivotField axis="axisRow" showAll="0">
      <items count="7">
        <item x="0"/>
        <item x="5"/>
        <item x="4"/>
        <item x="3"/>
        <item x="2"/>
        <item x="1"/>
        <item t="default"/>
      </items>
    </pivotField>
    <pivotField showAll="0"/>
    <pivotField showAll="0"/>
    <pivotField showAll="0"/>
    <pivotField dataField="1" showAll="0">
      <items count="1001">
        <item x="645"/>
        <item x="974"/>
        <item x="100"/>
        <item x="816"/>
        <item x="136"/>
        <item x="613"/>
        <item x="696"/>
        <item x="539"/>
        <item x="275"/>
        <item x="503"/>
        <item x="206"/>
        <item x="767"/>
        <item x="6"/>
        <item x="723"/>
        <item x="112"/>
        <item x="748"/>
        <item x="699"/>
        <item x="18"/>
        <item x="516"/>
        <item x="803"/>
        <item x="688"/>
        <item x="543"/>
        <item x="693"/>
        <item x="496"/>
        <item x="485"/>
        <item x="900"/>
        <item x="717"/>
        <item x="638"/>
        <item x="175"/>
        <item x="991"/>
        <item x="729"/>
        <item x="212"/>
        <item x="443"/>
        <item x="108"/>
        <item x="315"/>
        <item x="61"/>
        <item x="179"/>
        <item x="372"/>
        <item x="648"/>
        <item x="686"/>
        <item x="921"/>
        <item x="626"/>
        <item x="297"/>
        <item x="842"/>
        <item x="460"/>
        <item x="129"/>
        <item x="111"/>
        <item x="857"/>
        <item x="38"/>
        <item x="964"/>
        <item x="328"/>
        <item x="632"/>
        <item x="180"/>
        <item x="416"/>
        <item x="472"/>
        <item x="985"/>
        <item x="983"/>
        <item x="756"/>
        <item x="306"/>
        <item x="89"/>
        <item x="847"/>
        <item x="976"/>
        <item x="103"/>
        <item x="139"/>
        <item x="656"/>
        <item x="285"/>
        <item x="256"/>
        <item x="660"/>
        <item x="779"/>
        <item x="596"/>
        <item x="322"/>
        <item x="344"/>
        <item x="520"/>
        <item x="79"/>
        <item x="863"/>
        <item x="640"/>
        <item x="916"/>
        <item x="36"/>
        <item x="141"/>
        <item x="898"/>
        <item x="214"/>
        <item x="831"/>
        <item x="662"/>
        <item x="683"/>
        <item x="97"/>
        <item x="70"/>
        <item x="448"/>
        <item x="923"/>
        <item x="238"/>
        <item x="716"/>
        <item x="821"/>
        <item x="742"/>
        <item x="740"/>
        <item x="718"/>
        <item x="459"/>
        <item x="903"/>
        <item x="419"/>
        <item x="491"/>
        <item x="502"/>
        <item x="406"/>
        <item x="483"/>
        <item x="105"/>
        <item x="560"/>
        <item x="829"/>
        <item x="684"/>
        <item x="454"/>
        <item x="605"/>
        <item x="979"/>
        <item x="151"/>
        <item x="666"/>
        <item x="687"/>
        <item x="348"/>
        <item x="205"/>
        <item x="950"/>
        <item x="735"/>
        <item x="969"/>
        <item x="80"/>
        <item x="901"/>
        <item x="579"/>
        <item x="232"/>
        <item x="621"/>
        <item x="990"/>
        <item x="429"/>
        <item x="150"/>
        <item x="469"/>
        <item x="988"/>
        <item x="167"/>
        <item x="37"/>
        <item x="849"/>
        <item x="508"/>
        <item x="883"/>
        <item x="939"/>
        <item x="412"/>
        <item x="234"/>
        <item x="304"/>
        <item x="544"/>
        <item x="340"/>
        <item x="473"/>
        <item x="851"/>
        <item x="19"/>
        <item x="612"/>
        <item x="7"/>
        <item x="908"/>
        <item x="734"/>
        <item x="958"/>
        <item x="96"/>
        <item x="383"/>
        <item x="668"/>
        <item x="67"/>
        <item x="986"/>
        <item x="157"/>
        <item x="846"/>
        <item x="980"/>
        <item x="492"/>
        <item x="896"/>
        <item x="510"/>
        <item x="828"/>
        <item x="325"/>
        <item x="72"/>
        <item x="73"/>
        <item x="288"/>
        <item x="64"/>
        <item x="154"/>
        <item x="743"/>
        <item x="298"/>
        <item x="582"/>
        <item x="865"/>
        <item x="824"/>
        <item x="409"/>
        <item x="654"/>
        <item x="856"/>
        <item x="555"/>
        <item x="52"/>
        <item x="387"/>
        <item x="190"/>
        <item x="886"/>
        <item x="230"/>
        <item x="453"/>
        <item x="885"/>
        <item x="464"/>
        <item x="673"/>
        <item x="300"/>
        <item x="794"/>
        <item x="399"/>
        <item x="981"/>
        <item x="296"/>
        <item x="965"/>
        <item x="420"/>
        <item x="702"/>
        <item x="425"/>
        <item x="321"/>
        <item x="551"/>
        <item x="389"/>
        <item x="102"/>
        <item x="106"/>
        <item x="618"/>
        <item x="279"/>
        <item x="60"/>
        <item x="603"/>
        <item x="946"/>
        <item x="62"/>
        <item x="772"/>
        <item x="134"/>
        <item x="517"/>
        <item x="223"/>
        <item x="940"/>
        <item x="202"/>
        <item x="172"/>
        <item x="197"/>
        <item x="557"/>
        <item x="118"/>
        <item x="848"/>
        <item x="358"/>
        <item x="815"/>
        <item x="354"/>
        <item x="529"/>
        <item x="276"/>
        <item x="466"/>
        <item x="719"/>
        <item x="915"/>
        <item x="795"/>
        <item x="439"/>
        <item x="351"/>
        <item x="797"/>
        <item x="310"/>
        <item x="318"/>
        <item x="869"/>
        <item x="905"/>
        <item x="781"/>
        <item x="741"/>
        <item x="830"/>
        <item x="766"/>
        <item x="243"/>
        <item x="728"/>
        <item x="575"/>
        <item x="312"/>
        <item x="423"/>
        <item x="91"/>
        <item x="305"/>
        <item x="257"/>
        <item x="31"/>
        <item x="217"/>
        <item x="620"/>
        <item x="553"/>
        <item x="653"/>
        <item x="68"/>
        <item x="722"/>
        <item x="308"/>
        <item x="461"/>
        <item x="678"/>
        <item x="563"/>
        <item x="531"/>
        <item x="239"/>
        <item x="759"/>
        <item x="928"/>
        <item x="233"/>
        <item x="889"/>
        <item x="374"/>
        <item x="556"/>
        <item x="120"/>
        <item x="152"/>
        <item x="352"/>
        <item x="760"/>
        <item x="313"/>
        <item x="571"/>
        <item x="9"/>
        <item x="630"/>
        <item x="601"/>
        <item x="390"/>
        <item x="615"/>
        <item x="952"/>
        <item x="525"/>
        <item x="882"/>
        <item x="192"/>
        <item x="513"/>
        <item x="705"/>
        <item x="978"/>
        <item x="820"/>
        <item x="720"/>
        <item x="405"/>
        <item x="341"/>
        <item x="398"/>
        <item x="123"/>
        <item x="400"/>
        <item x="823"/>
        <item x="860"/>
        <item x="278"/>
        <item x="578"/>
        <item x="250"/>
        <item x="993"/>
        <item x="470"/>
        <item x="619"/>
        <item x="762"/>
        <item x="813"/>
        <item x="161"/>
        <item x="261"/>
        <item x="757"/>
        <item x="84"/>
        <item x="554"/>
        <item x="775"/>
        <item x="692"/>
        <item x="639"/>
        <item x="17"/>
        <item x="623"/>
        <item x="170"/>
        <item x="116"/>
        <item x="140"/>
        <item x="818"/>
        <item x="996"/>
        <item x="246"/>
        <item x="173"/>
        <item x="771"/>
        <item x="186"/>
        <item x="291"/>
        <item x="268"/>
        <item x="700"/>
        <item x="271"/>
        <item x="369"/>
        <item x="69"/>
        <item x="949"/>
        <item x="518"/>
        <item x="380"/>
        <item x="41"/>
        <item x="414"/>
        <item x="109"/>
        <item x="368"/>
        <item x="774"/>
        <item x="588"/>
        <item x="451"/>
        <item x="590"/>
        <item x="53"/>
        <item x="373"/>
        <item x="452"/>
        <item x="99"/>
        <item x="598"/>
        <item x="583"/>
        <item x="489"/>
        <item x="8"/>
        <item x="904"/>
        <item x="599"/>
        <item x="384"/>
        <item x="393"/>
        <item x="292"/>
        <item x="488"/>
        <item x="567"/>
        <item x="365"/>
        <item x="32"/>
        <item x="145"/>
        <item x="178"/>
        <item x="606"/>
        <item x="872"/>
        <item x="739"/>
        <item x="265"/>
        <item x="248"/>
        <item x="825"/>
        <item x="299"/>
        <item x="540"/>
        <item x="941"/>
        <item x="12"/>
        <item x="884"/>
        <item x="942"/>
        <item x="927"/>
        <item x="657"/>
        <item x="959"/>
        <item x="282"/>
        <item x="215"/>
        <item x="708"/>
        <item x="589"/>
        <item x="42"/>
        <item x="65"/>
        <item x="788"/>
        <item x="222"/>
        <item x="29"/>
        <item x="323"/>
        <item x="570"/>
        <item x="607"/>
        <item x="948"/>
        <item x="833"/>
        <item x="125"/>
        <item x="407"/>
        <item x="403"/>
        <item x="363"/>
        <item x="799"/>
        <item x="164"/>
        <item x="82"/>
        <item x="694"/>
        <item x="122"/>
        <item x="264"/>
        <item x="628"/>
        <item x="54"/>
        <item x="490"/>
        <item x="20"/>
        <item x="724"/>
        <item x="689"/>
        <item x="93"/>
        <item x="335"/>
        <item x="290"/>
        <item x="124"/>
        <item x="497"/>
        <item x="225"/>
        <item x="482"/>
        <item x="110"/>
        <item x="715"/>
        <item x="168"/>
        <item x="23"/>
        <item x="404"/>
        <item x="534"/>
        <item x="281"/>
        <item x="956"/>
        <item x="961"/>
        <item x="924"/>
        <item x="92"/>
        <item x="343"/>
        <item x="802"/>
        <item x="888"/>
        <item x="467"/>
        <item x="561"/>
        <item x="914"/>
        <item x="609"/>
        <item x="259"/>
        <item x="500"/>
        <item x="691"/>
        <item x="188"/>
        <item x="221"/>
        <item x="359"/>
        <item x="495"/>
        <item x="247"/>
        <item x="381"/>
        <item x="169"/>
        <item x="864"/>
        <item x="456"/>
        <item x="925"/>
        <item x="637"/>
        <item x="537"/>
        <item x="975"/>
        <item x="48"/>
        <item x="262"/>
        <item x="424"/>
        <item x="874"/>
        <item x="274"/>
        <item x="252"/>
        <item x="267"/>
        <item x="50"/>
        <item x="936"/>
        <item x="258"/>
        <item x="58"/>
        <item x="541"/>
        <item x="749"/>
        <item x="777"/>
        <item x="426"/>
        <item x="655"/>
        <item x="617"/>
        <item x="143"/>
        <item x="641"/>
        <item x="854"/>
        <item x="614"/>
        <item x="121"/>
        <item x="210"/>
        <item x="710"/>
        <item x="334"/>
        <item x="998"/>
        <item x="786"/>
        <item x="155"/>
        <item x="347"/>
        <item x="165"/>
        <item x="850"/>
        <item x="77"/>
        <item x="356"/>
        <item x="906"/>
        <item x="892"/>
        <item x="646"/>
        <item x="858"/>
        <item x="81"/>
        <item x="785"/>
        <item x="602"/>
        <item x="652"/>
        <item x="269"/>
        <item x="789"/>
        <item x="160"/>
        <item x="832"/>
        <item x="182"/>
        <item x="287"/>
        <item x="436"/>
        <item x="661"/>
        <item x="331"/>
        <item x="487"/>
        <item x="471"/>
        <item x="273"/>
        <item x="25"/>
        <item x="758"/>
        <item x="899"/>
        <item x="859"/>
        <item x="778"/>
        <item x="159"/>
        <item x="135"/>
        <item x="587"/>
        <item x="731"/>
        <item x="840"/>
        <item x="430"/>
        <item x="40"/>
        <item x="866"/>
        <item x="581"/>
        <item x="732"/>
        <item x="738"/>
        <item x="253"/>
        <item x="392"/>
        <item x="203"/>
        <item x="272"/>
        <item x="902"/>
        <item x="780"/>
        <item x="962"/>
        <item x="438"/>
        <item x="984"/>
        <item x="558"/>
        <item x="370"/>
        <item x="378"/>
        <item x="270"/>
        <item x="45"/>
        <item x="911"/>
        <item x="260"/>
        <item x="176"/>
        <item x="450"/>
        <item x="476"/>
        <item x="115"/>
        <item x="566"/>
        <item x="301"/>
        <item x="917"/>
        <item x="971"/>
        <item x="853"/>
        <item x="768"/>
        <item x="968"/>
        <item x="997"/>
        <item x="953"/>
        <item x="681"/>
        <item x="484"/>
        <item x="166"/>
        <item x="685"/>
        <item x="714"/>
        <item x="78"/>
        <item x="362"/>
        <item x="697"/>
        <item x="481"/>
        <item x="547"/>
        <item x="586"/>
        <item x="468"/>
        <item x="462"/>
        <item x="434"/>
        <item x="629"/>
        <item x="213"/>
        <item x="995"/>
        <item x="564"/>
        <item x="56"/>
        <item x="474"/>
        <item x="992"/>
        <item x="791"/>
        <item x="149"/>
        <item x="286"/>
        <item x="897"/>
        <item x="546"/>
        <item x="486"/>
        <item x="625"/>
        <item x="934"/>
        <item x="193"/>
        <item x="597"/>
        <item x="782"/>
        <item x="922"/>
        <item x="177"/>
        <item x="524"/>
        <item x="421"/>
        <item x="577"/>
        <item x="142"/>
        <item x="158"/>
        <item x="196"/>
        <item x="187"/>
        <item x="198"/>
        <item x="117"/>
        <item x="293"/>
        <item x="926"/>
        <item x="408"/>
        <item x="967"/>
        <item x="879"/>
        <item x="119"/>
        <item x="912"/>
        <item x="834"/>
        <item x="523"/>
        <item x="127"/>
        <item x="5"/>
        <item x="568"/>
        <item x="104"/>
        <item x="909"/>
        <item x="675"/>
        <item x="435"/>
        <item x="444"/>
        <item x="76"/>
        <item x="75"/>
        <item x="837"/>
        <item x="727"/>
        <item x="919"/>
        <item x="907"/>
        <item x="442"/>
        <item x="455"/>
        <item x="706"/>
        <item x="800"/>
        <item x="770"/>
        <item x="83"/>
        <item x="881"/>
        <item x="910"/>
        <item x="804"/>
        <item x="475"/>
        <item x="114"/>
        <item x="501"/>
        <item x="672"/>
        <item x="761"/>
        <item x="57"/>
        <item x="677"/>
        <item x="201"/>
        <item x="835"/>
        <item x="237"/>
        <item x="361"/>
        <item x="216"/>
        <item x="765"/>
        <item x="319"/>
        <item x="812"/>
        <item x="295"/>
        <item x="819"/>
        <item x="11"/>
        <item x="66"/>
        <item x="428"/>
        <item x="787"/>
        <item x="74"/>
        <item x="27"/>
        <item x="493"/>
        <item x="375"/>
        <item x="211"/>
        <item x="793"/>
        <item x="528"/>
        <item x="783"/>
        <item x="970"/>
        <item x="893"/>
        <item x="624"/>
        <item x="584"/>
        <item x="183"/>
        <item x="209"/>
        <item x="87"/>
        <item x="391"/>
        <item x="891"/>
        <item x="707"/>
        <item x="195"/>
        <item x="337"/>
        <item x="219"/>
        <item x="277"/>
        <item x="890"/>
        <item x="49"/>
        <item x="138"/>
        <item x="355"/>
        <item x="63"/>
        <item x="349"/>
        <item x="669"/>
        <item x="698"/>
        <item x="357"/>
        <item x="920"/>
        <item x="943"/>
        <item x="750"/>
        <item x="95"/>
        <item x="249"/>
        <item x="98"/>
        <item x="703"/>
        <item x="610"/>
        <item x="46"/>
        <item x="530"/>
        <item x="569"/>
        <item x="367"/>
        <item x="144"/>
        <item x="478"/>
        <item x="932"/>
        <item x="817"/>
        <item x="704"/>
        <item x="670"/>
        <item x="333"/>
        <item x="839"/>
        <item x="26"/>
        <item x="200"/>
        <item x="753"/>
        <item x="207"/>
        <item x="636"/>
        <item x="966"/>
        <item x="266"/>
        <item x="33"/>
        <item x="635"/>
        <item x="332"/>
        <item x="931"/>
        <item x="307"/>
        <item x="39"/>
        <item x="350"/>
        <item x="631"/>
        <item x="162"/>
        <item x="410"/>
        <item x="235"/>
        <item x="411"/>
        <item x="712"/>
        <item x="402"/>
        <item x="514"/>
        <item x="844"/>
        <item x="957"/>
        <item x="592"/>
        <item x="512"/>
        <item x="21"/>
        <item x="86"/>
        <item x="317"/>
        <item x="894"/>
        <item x="836"/>
        <item x="255"/>
        <item x="580"/>
        <item x="94"/>
        <item x="417"/>
        <item x="867"/>
        <item x="171"/>
        <item x="809"/>
        <item x="245"/>
        <item x="208"/>
        <item x="679"/>
        <item x="773"/>
        <item x="458"/>
        <item x="963"/>
        <item x="647"/>
        <item x="690"/>
        <item x="449"/>
        <item x="437"/>
        <item x="418"/>
        <item x="504"/>
        <item x="364"/>
        <item x="572"/>
        <item x="522"/>
        <item x="871"/>
        <item x="855"/>
        <item x="585"/>
        <item x="937"/>
        <item x="388"/>
        <item x="218"/>
        <item x="3"/>
        <item x="479"/>
        <item x="658"/>
        <item x="611"/>
        <item x="401"/>
        <item x="327"/>
        <item x="536"/>
        <item x="562"/>
        <item x="930"/>
        <item x="852"/>
        <item x="330"/>
        <item x="242"/>
        <item x="309"/>
        <item x="147"/>
        <item x="576"/>
        <item x="427"/>
        <item x="366"/>
        <item x="90"/>
        <item x="441"/>
        <item x="194"/>
        <item x="960"/>
        <item x="664"/>
        <item x="954"/>
        <item x="55"/>
        <item x="659"/>
        <item x="339"/>
        <item x="608"/>
        <item x="674"/>
        <item x="353"/>
        <item x="371"/>
        <item x="14"/>
        <item x="477"/>
        <item x="521"/>
        <item x="422"/>
        <item x="665"/>
        <item x="133"/>
        <item x="811"/>
        <item x="88"/>
        <item x="280"/>
        <item x="627"/>
        <item x="498"/>
        <item x="947"/>
        <item x="573"/>
        <item x="463"/>
        <item x="764"/>
        <item x="224"/>
        <item x="769"/>
        <item x="913"/>
        <item x="85"/>
        <item x="676"/>
        <item x="191"/>
        <item x="680"/>
        <item x="814"/>
        <item x="137"/>
        <item x="945"/>
        <item x="376"/>
        <item x="316"/>
        <item x="342"/>
        <item x="386"/>
        <item x="509"/>
        <item x="650"/>
        <item x="229"/>
        <item x="574"/>
        <item x="709"/>
        <item x="798"/>
        <item x="440"/>
        <item x="446"/>
        <item x="827"/>
        <item x="550"/>
        <item x="2"/>
        <item x="594"/>
        <item x="131"/>
        <item x="311"/>
        <item x="156"/>
        <item x="807"/>
        <item x="527"/>
        <item x="284"/>
        <item x="843"/>
        <item x="533"/>
        <item x="30"/>
        <item x="826"/>
        <item x="184"/>
        <item x="251"/>
        <item x="415"/>
        <item x="326"/>
        <item x="878"/>
        <item x="744"/>
        <item x="977"/>
        <item x="44"/>
        <item x="938"/>
        <item x="695"/>
        <item x="519"/>
        <item x="999"/>
        <item x="22"/>
        <item x="181"/>
        <item x="185"/>
        <item x="254"/>
        <item x="231"/>
        <item x="4"/>
        <item x="146"/>
        <item x="43"/>
        <item x="346"/>
        <item x="600"/>
        <item x="649"/>
        <item x="283"/>
        <item x="153"/>
        <item x="746"/>
        <item x="755"/>
        <item x="228"/>
        <item x="226"/>
        <item x="511"/>
        <item x="303"/>
        <item x="289"/>
        <item x="633"/>
        <item x="126"/>
        <item x="314"/>
        <item x="737"/>
        <item x="447"/>
        <item x="1"/>
        <item x="548"/>
        <item x="433"/>
        <item x="806"/>
        <item x="542"/>
        <item x="240"/>
        <item x="505"/>
        <item x="538"/>
        <item x="263"/>
        <item x="199"/>
        <item x="987"/>
        <item x="51"/>
        <item x="634"/>
        <item x="395"/>
        <item x="682"/>
        <item x="870"/>
        <item x="642"/>
        <item x="24"/>
        <item x="876"/>
        <item x="101"/>
        <item x="294"/>
        <item x="457"/>
        <item x="747"/>
        <item x="868"/>
        <item x="955"/>
        <item x="0"/>
        <item x="432"/>
        <item x="113"/>
        <item x="880"/>
        <item x="241"/>
        <item x="862"/>
        <item x="801"/>
        <item x="711"/>
        <item x="385"/>
        <item x="895"/>
        <item x="565"/>
        <item x="244"/>
        <item x="336"/>
        <item x="776"/>
        <item x="549"/>
        <item x="345"/>
        <item x="515"/>
        <item x="302"/>
        <item x="499"/>
        <item x="644"/>
        <item x="663"/>
        <item x="163"/>
        <item x="324"/>
        <item x="227"/>
        <item x="754"/>
        <item x="397"/>
        <item x="71"/>
        <item x="616"/>
        <item x="59"/>
        <item x="745"/>
        <item x="796"/>
        <item x="16"/>
        <item x="34"/>
        <item x="736"/>
        <item x="445"/>
        <item x="10"/>
        <item x="220"/>
        <item x="845"/>
        <item x="875"/>
        <item x="935"/>
        <item x="982"/>
        <item x="338"/>
        <item x="320"/>
        <item x="396"/>
        <item x="593"/>
        <item x="721"/>
        <item x="107"/>
        <item x="174"/>
        <item x="506"/>
        <item x="730"/>
        <item x="494"/>
        <item x="861"/>
        <item x="465"/>
        <item x="148"/>
        <item x="643"/>
        <item x="480"/>
        <item x="132"/>
        <item x="873"/>
        <item x="841"/>
        <item x="329"/>
        <item x="236"/>
        <item x="838"/>
        <item x="972"/>
        <item x="726"/>
        <item x="951"/>
        <item x="595"/>
        <item x="790"/>
        <item x="784"/>
        <item x="989"/>
        <item x="591"/>
        <item x="377"/>
        <item x="877"/>
        <item x="929"/>
        <item x="379"/>
        <item x="752"/>
        <item x="394"/>
        <item x="552"/>
        <item x="507"/>
        <item x="532"/>
        <item x="204"/>
        <item x="15"/>
        <item x="431"/>
        <item x="604"/>
        <item x="35"/>
        <item x="701"/>
        <item x="994"/>
        <item x="13"/>
        <item x="535"/>
        <item x="526"/>
        <item x="382"/>
        <item x="413"/>
        <item x="808"/>
        <item x="545"/>
        <item x="651"/>
        <item x="822"/>
        <item x="805"/>
        <item x="792"/>
        <item x="887"/>
        <item x="189"/>
        <item x="130"/>
        <item x="128"/>
        <item x="47"/>
        <item x="667"/>
        <item x="944"/>
        <item x="360"/>
        <item x="733"/>
        <item x="725"/>
        <item x="622"/>
        <item x="810"/>
        <item x="973"/>
        <item x="671"/>
        <item x="933"/>
        <item x="918"/>
        <item x="713"/>
        <item x="28"/>
        <item x="559"/>
        <item x="763"/>
        <item x="751"/>
        <item t="default"/>
      </items>
    </pivotField>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Treatment_Cost" fld="8" subtotal="count" baseField="4" baseItem="1"/>
  </dataFields>
  <chartFormats count="8">
    <chartFormat chart="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A5DCCB-A758-495D-BD6D-31E37E1F8D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T40:U47" firstHeaderRow="1" firstDataRow="1" firstDataCol="1"/>
  <pivotFields count="13">
    <pivotField showAll="0"/>
    <pivotField showAll="0"/>
    <pivotField showAll="0"/>
    <pivotField showAll="0"/>
    <pivotField axis="axisRow" showAll="0">
      <items count="7">
        <item x="0"/>
        <item x="5"/>
        <item x="4"/>
        <item x="3"/>
        <item x="2"/>
        <item x="1"/>
        <item t="default"/>
      </items>
    </pivotField>
    <pivotField dataField="1" showAll="0">
      <items count="6">
        <item x="3"/>
        <item x="4"/>
        <item x="0"/>
        <item x="2"/>
        <item x="1"/>
        <item t="default"/>
      </items>
    </pivotField>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Doctor" fld="5" subtotal="count" baseField="0" baseItem="0"/>
  </dataFields>
  <chartFormats count="5">
    <chartFormat chart="13"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EDC5FF2-F591-46FB-82F6-B834BF1B814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M9:AN15" firstHeaderRow="1" firstDataRow="1" firstDataCol="1"/>
  <pivotFields count="13">
    <pivotField showAll="0"/>
    <pivotField showAll="0"/>
    <pivotField showAll="0"/>
    <pivotField showAll="0">
      <items count="3">
        <item x="0"/>
        <item x="1"/>
        <item t="default"/>
      </items>
    </pivotField>
    <pivotField showAll="0">
      <items count="7">
        <item x="0"/>
        <item x="5"/>
        <item x="4"/>
        <item x="3"/>
        <item x="2"/>
        <item x="1"/>
        <item t="default"/>
      </items>
    </pivotField>
    <pivotField axis="axisRow" showAll="0">
      <items count="6">
        <item x="3"/>
        <item x="4"/>
        <item x="0"/>
        <item x="2"/>
        <item x="1"/>
        <item t="default"/>
      </items>
    </pivotField>
    <pivotField showAll="0">
      <items count="4">
        <item x="0"/>
        <item x="2"/>
        <item x="1"/>
        <item t="default"/>
      </items>
    </pivotField>
    <pivotField dataField="1"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Average of Length_of_Stay_Days" fld="7" subtotal="average" baseField="0" baseItem="0"/>
  </dataFields>
  <chartFormats count="2">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C82EB30-B994-4ED0-A039-338434ED2DC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9:Q42" firstHeaderRow="1" firstDataRow="1" firstDataCol="1"/>
  <pivotFields count="13">
    <pivotField showAll="0"/>
    <pivotField showAll="0"/>
    <pivotField showAll="0"/>
    <pivotField axis="axisRow" showAll="0">
      <items count="3">
        <item x="0"/>
        <item x="1"/>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s>
  <rowFields count="1">
    <field x="3"/>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966511A-2A4F-41E5-B8BE-F6FC250CAB2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B9:AC16" firstHeaderRow="1" firstDataRow="1" firstDataCol="1"/>
  <pivotFields count="13">
    <pivotField showAll="0"/>
    <pivotField showAll="0"/>
    <pivotField showAll="0"/>
    <pivotField showAll="0">
      <items count="3">
        <item x="0"/>
        <item x="1"/>
        <item t="default"/>
      </items>
    </pivotField>
    <pivotField axis="axisRow" showAll="0">
      <items count="7">
        <item x="0"/>
        <item x="5"/>
        <item x="4"/>
        <item x="3"/>
        <item x="2"/>
        <item x="1"/>
        <item t="default"/>
      </items>
    </pivotField>
    <pivotField showAll="0"/>
    <pivotField showAll="0">
      <items count="4">
        <item x="0"/>
        <item x="2"/>
        <item x="1"/>
        <item t="default"/>
      </items>
    </pivotField>
    <pivotField showAll="0"/>
    <pivotField dataField="1"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Average of Treatment_Cost" fld="8"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0342BC9-E4FB-4402-936D-8A3FEB114924}" sourceName="Department">
  <pivotTables>
    <pivotTable tabId="1" name="PivotTable16"/>
    <pivotTable tabId="1" name="PivotTable1"/>
    <pivotTable tabId="1" name="PivotTable10"/>
    <pivotTable tabId="1" name="PivotTable11"/>
    <pivotTable tabId="1" name="PivotTable14"/>
    <pivotTable tabId="1" name="PivotTable2"/>
    <pivotTable tabId="1" name="PivotTable5"/>
    <pivotTable tabId="1" name="PivotTable6"/>
    <pivotTable tabId="1" name="PivotTable7"/>
    <pivotTable tabId="1" name="PivotTable8"/>
    <pivotTable tabId="1" name="PivotTable9"/>
  </pivotTables>
  <data>
    <tabular pivotCacheId="567626975">
      <items count="6">
        <i x="0" s="1"/>
        <i x="5" s="1"/>
        <i x="4"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23A892-BCF9-4BB0-A560-5AF925111FBC}" sourceName="Gender">
  <pivotTables>
    <pivotTable tabId="1" name="PivotTable18"/>
    <pivotTable tabId="1" name="PivotTable1"/>
    <pivotTable tabId="1" name="PivotTable10"/>
    <pivotTable tabId="1" name="PivotTable11"/>
    <pivotTable tabId="1" name="PivotTable12"/>
    <pivotTable tabId="1" name="PivotTable13"/>
    <pivotTable tabId="1" name="PivotTable14"/>
    <pivotTable tabId="1" name="PivotTable16"/>
    <pivotTable tabId="1" name="PivotTable19"/>
    <pivotTable tabId="1" name="PivotTable2"/>
    <pivotTable tabId="1" name="PivotTable20"/>
    <pivotTable tabId="1" name="PivotTable5"/>
    <pivotTable tabId="1" name="PivotTable6"/>
    <pivotTable tabId="1" name="PivotTable7"/>
    <pivotTable tabId="1" name="PivotTable8"/>
    <pivotTable tabId="1" name="PivotTable9"/>
  </pivotTables>
  <data>
    <tabular pivotCacheId="5676269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F89B3A0E-9CF2-4A4C-8669-D41D5C802388}" sourceName="Admission_Type">
  <pivotTables>
    <pivotTable tabId="1" name="PivotTable20"/>
    <pivotTable tabId="1" name="PivotTable1"/>
    <pivotTable tabId="1" name="PivotTable10"/>
    <pivotTable tabId="1" name="PivotTable11"/>
    <pivotTable tabId="1" name="PivotTable12"/>
    <pivotTable tabId="1" name="PivotTable13"/>
    <pivotTable tabId="1" name="PivotTable14"/>
    <pivotTable tabId="1" name="PivotTable16"/>
    <pivotTable tabId="1" name="PivotTable18"/>
    <pivotTable tabId="1" name="PivotTable19"/>
    <pivotTable tabId="1" name="PivotTable2"/>
    <pivotTable tabId="1" name="PivotTable5"/>
    <pivotTable tabId="1" name="PivotTable6"/>
    <pivotTable tabId="1" name="PivotTable7"/>
    <pivotTable tabId="1" name="PivotTable8"/>
    <pivotTable tabId="1" name="PivotTable9"/>
  </pivotTables>
  <data>
    <tabular pivotCacheId="56762697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DCD66F0B-E62C-462F-9ABE-AEDDE5EEF5C2}" cache="Slicer_Department" caption="Department" rowHeight="241788"/>
  <slicer name="Gender 2" xr10:uid="{D4E824BF-B63B-437E-B2B2-274A1133DFD5}" cache="Slicer_Gender" caption="Gender" rowHeight="241788"/>
  <slicer name="Admission_Type 3" xr10:uid="{E3300714-B40A-4A0A-94E2-22A7C0EF7152}" cache="Slicer_Admission_Type" caption="Admission_Type" rowHeight="2417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E319E2-1316-4C14-99C8-55314375606E}" name="Table2" displayName="Table2" ref="A1:M1001" totalsRowShown="0" headerRowDxfId="3" headerRowBorderDxfId="2" tableBorderDxfId="1">
  <autoFilter ref="A1:M1001" xr:uid="{EBE319E2-1316-4C14-99C8-55314375606E}"/>
  <tableColumns count="13">
    <tableColumn id="1" xr3:uid="{58699E1E-503D-4DE4-A4C9-3B096AE75F47}" name="Patient_ID"/>
    <tableColumn id="2" xr3:uid="{99EDE786-7F08-4CF0-B8B1-2E0F321D0DEB}" name="Age"/>
    <tableColumn id="14" xr3:uid="{336BD4C3-D74C-4859-A6D6-DBBB754B296D}" name="Age Group" dataDxfId="0">
      <calculatedColumnFormula>IF(B2&lt;=18,"0-18",IF(B2&lt;=40,"19-40",IF(B2&lt;=60,"41-60","60+")))</calculatedColumnFormula>
    </tableColumn>
    <tableColumn id="3" xr3:uid="{30FF5217-3D01-4452-BFFD-C555B91DF11B}" name="Gender"/>
    <tableColumn id="4" xr3:uid="{52731CEB-3239-42A3-AF29-95D2374C6979}" name="Department"/>
    <tableColumn id="5" xr3:uid="{FA40D91D-4E69-4924-8004-C4175CC95FE4}" name="Doctor"/>
    <tableColumn id="6" xr3:uid="{2BAA6C4C-EA53-4E40-ACB6-C94093E4E079}" name="Admission_Type"/>
    <tableColumn id="7" xr3:uid="{1A37C3AE-785B-41AF-9015-4AE823416591}" name="Length_of_Stay_Days"/>
    <tableColumn id="8" xr3:uid="{76E092FA-A3E4-48E1-B27C-F939E75EB1B9}" name="Treatment_Cost"/>
    <tableColumn id="9" xr3:uid="{068744EC-C52F-4556-BC25-2CC9F72D4A90}" name="Insurance"/>
    <tableColumn id="10" xr3:uid="{ED3F1B18-30B1-4E8C-9AB0-EEEC7DA22A13}" name="Payment_Mode"/>
    <tableColumn id="11" xr3:uid="{9862E008-99BD-4C68-84D3-A7E5768615B9}" name="Outcome"/>
    <tableColumn id="12" xr3:uid="{2358E2F8-3ECF-43B9-9F6D-5BCA41E21226}" name="Rating"/>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table" Target="../tables/tabl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1"/>
  <sheetViews>
    <sheetView tabSelected="1" zoomScale="62" workbookViewId="0">
      <selection activeCell="AN23" sqref="AN23"/>
    </sheetView>
  </sheetViews>
  <sheetFormatPr defaultRowHeight="14.4" x14ac:dyDescent="0.3"/>
  <cols>
    <col min="1" max="1" width="14.19921875" bestFit="1" customWidth="1"/>
    <col min="3" max="3" width="16.59765625" bestFit="1" customWidth="1"/>
    <col min="4" max="4" width="11.5" bestFit="1" customWidth="1"/>
    <col min="5" max="5" width="15.796875" bestFit="1" customWidth="1"/>
    <col min="6" max="6" width="11" bestFit="1" customWidth="1"/>
    <col min="7" max="7" width="19.09765625" bestFit="1" customWidth="1"/>
    <col min="8" max="8" width="23.296875" bestFit="1" customWidth="1"/>
    <col min="9" max="9" width="21.09765625" bestFit="1" customWidth="1"/>
    <col min="10" max="10" width="15.69921875" bestFit="1" customWidth="1"/>
    <col min="11" max="11" width="18.69921875" bestFit="1" customWidth="1"/>
    <col min="12" max="12" width="15.5" bestFit="1" customWidth="1"/>
    <col min="13" max="13" width="10.59765625" bestFit="1" customWidth="1"/>
    <col min="15" max="15" width="17.19921875" bestFit="1" customWidth="1"/>
    <col min="16" max="18" width="13.59765625" bestFit="1" customWidth="1"/>
    <col min="19" max="19" width="20.8984375" bestFit="1" customWidth="1"/>
    <col min="20" max="20" width="17.19921875" bestFit="1" customWidth="1"/>
    <col min="21" max="21" width="14.5" bestFit="1" customWidth="1"/>
    <col min="22" max="22" width="13.59765625" bestFit="1" customWidth="1"/>
    <col min="23" max="23" width="17.796875" bestFit="1" customWidth="1"/>
    <col min="24" max="24" width="6.8984375" bestFit="1" customWidth="1"/>
    <col min="25" max="25" width="17.19921875" bestFit="1" customWidth="1"/>
    <col min="26" max="26" width="17.796875" bestFit="1" customWidth="1"/>
    <col min="27" max="27" width="6.8984375" bestFit="1" customWidth="1"/>
    <col min="28" max="28" width="17.19921875" bestFit="1" customWidth="1"/>
    <col min="29" max="29" width="24.09765625" bestFit="1" customWidth="1"/>
    <col min="30" max="30" width="6.8984375" bestFit="1" customWidth="1"/>
    <col min="31" max="31" width="17.69921875" bestFit="1" customWidth="1"/>
    <col min="32" max="32" width="16.09765625" bestFit="1" customWidth="1"/>
    <col min="33" max="33" width="13.59765625" bestFit="1" customWidth="1"/>
    <col min="34" max="34" width="17.796875" bestFit="1" customWidth="1"/>
    <col min="35" max="35" width="15.5" bestFit="1" customWidth="1"/>
    <col min="36" max="36" width="13.59765625" bestFit="1" customWidth="1"/>
    <col min="37" max="37" width="15.69921875" bestFit="1" customWidth="1"/>
    <col min="38" max="38" width="6.8984375" bestFit="1" customWidth="1"/>
    <col min="39" max="39" width="13.59765625" bestFit="1" customWidth="1"/>
    <col min="40" max="40" width="28.5" bestFit="1" customWidth="1"/>
    <col min="41" max="41" width="28.5" customWidth="1"/>
    <col min="42" max="43" width="13.59765625" bestFit="1" customWidth="1"/>
    <col min="44" max="44" width="25.296875" bestFit="1" customWidth="1"/>
    <col min="45" max="48" width="6.8984375" bestFit="1" customWidth="1"/>
    <col min="49" max="49" width="17.19921875" bestFit="1" customWidth="1"/>
    <col min="50" max="50" width="22.5" bestFit="1" customWidth="1"/>
    <col min="51" max="51" width="15.796875" bestFit="1" customWidth="1"/>
    <col min="52" max="52" width="9.5" bestFit="1" customWidth="1"/>
    <col min="53" max="53" width="8.69921875" bestFit="1" customWidth="1"/>
    <col min="54" max="54" width="11.19921875" bestFit="1" customWidth="1"/>
    <col min="55" max="55" width="9.09765625" bestFit="1" customWidth="1"/>
    <col min="56" max="56" width="10.8984375" bestFit="1" customWidth="1"/>
    <col min="57" max="1048" width="16.09765625" bestFit="1" customWidth="1"/>
    <col min="1049" max="1049" width="10.8984375" bestFit="1" customWidth="1"/>
  </cols>
  <sheetData>
    <row r="1" spans="1:50" x14ac:dyDescent="0.3">
      <c r="A1" s="1" t="s">
        <v>0</v>
      </c>
      <c r="B1" s="1" t="s">
        <v>1</v>
      </c>
      <c r="C1" s="1" t="s">
        <v>40</v>
      </c>
      <c r="D1" s="1" t="s">
        <v>2</v>
      </c>
      <c r="E1" s="1" t="s">
        <v>3</v>
      </c>
      <c r="F1" s="1" t="s">
        <v>4</v>
      </c>
      <c r="G1" s="1" t="s">
        <v>5</v>
      </c>
      <c r="H1" s="1" t="s">
        <v>6</v>
      </c>
      <c r="I1" s="1" t="s">
        <v>7</v>
      </c>
      <c r="J1" s="1" t="s">
        <v>8</v>
      </c>
      <c r="K1" s="1" t="s">
        <v>9</v>
      </c>
      <c r="L1" s="1" t="s">
        <v>10</v>
      </c>
      <c r="M1" s="1" t="s">
        <v>11</v>
      </c>
    </row>
    <row r="2" spans="1:50" x14ac:dyDescent="0.3">
      <c r="A2">
        <v>100001</v>
      </c>
      <c r="B2">
        <v>52</v>
      </c>
      <c r="C2" t="str">
        <f t="shared" ref="C2:C65" si="0">IF(B2&lt;=18,"0-18",IF(B2&lt;=40,"19-40",IF(B2&lt;=60,"41-60","60+")))</f>
        <v>41-60</v>
      </c>
      <c r="D2" t="s">
        <v>12</v>
      </c>
      <c r="E2" t="s">
        <v>14</v>
      </c>
      <c r="F2" t="s">
        <v>20</v>
      </c>
      <c r="G2" t="s">
        <v>25</v>
      </c>
      <c r="H2">
        <v>16</v>
      </c>
      <c r="I2">
        <v>223097</v>
      </c>
      <c r="J2" t="s">
        <v>28</v>
      </c>
      <c r="K2" t="s">
        <v>30</v>
      </c>
      <c r="L2" t="s">
        <v>32</v>
      </c>
      <c r="M2">
        <v>2</v>
      </c>
    </row>
    <row r="3" spans="1:50" x14ac:dyDescent="0.3">
      <c r="A3">
        <v>100002</v>
      </c>
      <c r="B3">
        <v>15</v>
      </c>
      <c r="C3" t="str">
        <f t="shared" si="0"/>
        <v>0-18</v>
      </c>
      <c r="D3" t="s">
        <v>13</v>
      </c>
      <c r="E3" t="s">
        <v>14</v>
      </c>
      <c r="F3" t="s">
        <v>20</v>
      </c>
      <c r="G3" t="s">
        <v>26</v>
      </c>
      <c r="H3">
        <v>8</v>
      </c>
      <c r="I3">
        <v>216235</v>
      </c>
      <c r="J3" t="s">
        <v>28</v>
      </c>
      <c r="K3" t="s">
        <v>30</v>
      </c>
      <c r="L3" t="s">
        <v>33</v>
      </c>
      <c r="M3">
        <v>5</v>
      </c>
    </row>
    <row r="4" spans="1:50" x14ac:dyDescent="0.3">
      <c r="A4">
        <v>100003</v>
      </c>
      <c r="B4">
        <v>72</v>
      </c>
      <c r="C4" t="str">
        <f t="shared" si="0"/>
        <v>60+</v>
      </c>
      <c r="D4" t="s">
        <v>13</v>
      </c>
      <c r="E4" t="s">
        <v>15</v>
      </c>
      <c r="F4" t="s">
        <v>20</v>
      </c>
      <c r="G4" t="s">
        <v>26</v>
      </c>
      <c r="H4">
        <v>8</v>
      </c>
      <c r="I4">
        <v>204304</v>
      </c>
      <c r="J4" t="s">
        <v>29</v>
      </c>
      <c r="K4" t="s">
        <v>8</v>
      </c>
      <c r="L4" t="s">
        <v>32</v>
      </c>
      <c r="M4">
        <v>1</v>
      </c>
    </row>
    <row r="5" spans="1:50" x14ac:dyDescent="0.3">
      <c r="A5">
        <v>100004</v>
      </c>
      <c r="B5">
        <v>61</v>
      </c>
      <c r="C5" t="str">
        <f t="shared" si="0"/>
        <v>60+</v>
      </c>
      <c r="D5" t="s">
        <v>12</v>
      </c>
      <c r="E5" t="s">
        <v>15</v>
      </c>
      <c r="F5" t="s">
        <v>21</v>
      </c>
      <c r="G5" t="s">
        <v>27</v>
      </c>
      <c r="H5">
        <v>8</v>
      </c>
      <c r="I5">
        <v>182066</v>
      </c>
      <c r="J5" t="s">
        <v>29</v>
      </c>
      <c r="K5" t="s">
        <v>30</v>
      </c>
      <c r="L5" t="s">
        <v>34</v>
      </c>
      <c r="M5">
        <v>3</v>
      </c>
    </row>
    <row r="6" spans="1:50" x14ac:dyDescent="0.3">
      <c r="A6">
        <v>100005</v>
      </c>
      <c r="B6">
        <v>21</v>
      </c>
      <c r="C6" t="str">
        <f t="shared" si="0"/>
        <v>19-40</v>
      </c>
      <c r="D6" t="s">
        <v>13</v>
      </c>
      <c r="E6" t="s">
        <v>16</v>
      </c>
      <c r="F6" t="s">
        <v>22</v>
      </c>
      <c r="G6" t="s">
        <v>25</v>
      </c>
      <c r="H6">
        <v>13</v>
      </c>
      <c r="I6">
        <v>212151</v>
      </c>
      <c r="J6" t="s">
        <v>29</v>
      </c>
      <c r="K6" t="s">
        <v>31</v>
      </c>
      <c r="L6" t="s">
        <v>34</v>
      </c>
      <c r="M6">
        <v>5</v>
      </c>
    </row>
    <row r="7" spans="1:50" x14ac:dyDescent="0.3">
      <c r="A7">
        <v>100006</v>
      </c>
      <c r="B7">
        <v>83</v>
      </c>
      <c r="C7" t="str">
        <f t="shared" si="0"/>
        <v>60+</v>
      </c>
      <c r="D7" t="s">
        <v>13</v>
      </c>
      <c r="E7" t="s">
        <v>17</v>
      </c>
      <c r="F7" t="s">
        <v>22</v>
      </c>
      <c r="G7" t="s">
        <v>27</v>
      </c>
      <c r="H7">
        <v>2</v>
      </c>
      <c r="I7">
        <v>145687</v>
      </c>
      <c r="J7" t="s">
        <v>29</v>
      </c>
      <c r="K7" t="s">
        <v>30</v>
      </c>
      <c r="L7" t="s">
        <v>32</v>
      </c>
      <c r="M7">
        <v>2</v>
      </c>
      <c r="S7" t="s">
        <v>61</v>
      </c>
      <c r="V7" t="s">
        <v>62</v>
      </c>
      <c r="Y7" t="s">
        <v>63</v>
      </c>
      <c r="AB7" t="s">
        <v>64</v>
      </c>
      <c r="AE7" t="s">
        <v>65</v>
      </c>
      <c r="AG7" t="s">
        <v>66</v>
      </c>
      <c r="AJ7" t="s">
        <v>67</v>
      </c>
    </row>
    <row r="8" spans="1:50" x14ac:dyDescent="0.3">
      <c r="A8">
        <v>100007</v>
      </c>
      <c r="B8">
        <v>87</v>
      </c>
      <c r="C8" t="str">
        <f t="shared" si="0"/>
        <v>60+</v>
      </c>
      <c r="D8" t="s">
        <v>13</v>
      </c>
      <c r="E8" t="s">
        <v>18</v>
      </c>
      <c r="F8" t="s">
        <v>20</v>
      </c>
      <c r="G8" t="s">
        <v>25</v>
      </c>
      <c r="H8">
        <v>12</v>
      </c>
      <c r="I8">
        <v>3466</v>
      </c>
      <c r="J8" t="s">
        <v>29</v>
      </c>
      <c r="K8" t="s">
        <v>30</v>
      </c>
      <c r="L8" t="s">
        <v>32</v>
      </c>
      <c r="M8">
        <v>4</v>
      </c>
      <c r="AW8" s="2" t="s">
        <v>36</v>
      </c>
      <c r="AX8" t="s">
        <v>70</v>
      </c>
    </row>
    <row r="9" spans="1:50" x14ac:dyDescent="0.3">
      <c r="A9">
        <v>100008</v>
      </c>
      <c r="B9">
        <v>75</v>
      </c>
      <c r="C9" t="str">
        <f t="shared" si="0"/>
        <v>60+</v>
      </c>
      <c r="D9" t="s">
        <v>13</v>
      </c>
      <c r="E9" t="s">
        <v>19</v>
      </c>
      <c r="F9" t="s">
        <v>23</v>
      </c>
      <c r="G9" t="s">
        <v>26</v>
      </c>
      <c r="H9">
        <v>10</v>
      </c>
      <c r="I9">
        <v>32771</v>
      </c>
      <c r="J9" t="s">
        <v>29</v>
      </c>
      <c r="K9" t="s">
        <v>31</v>
      </c>
      <c r="L9" t="s">
        <v>33</v>
      </c>
      <c r="M9">
        <v>1</v>
      </c>
      <c r="S9" s="2" t="s">
        <v>36</v>
      </c>
      <c r="T9" t="s">
        <v>38</v>
      </c>
      <c r="V9" s="2" t="s">
        <v>36</v>
      </c>
      <c r="W9" t="s">
        <v>38</v>
      </c>
      <c r="Y9" s="2" t="s">
        <v>36</v>
      </c>
      <c r="Z9" t="s">
        <v>38</v>
      </c>
      <c r="AB9" s="2" t="s">
        <v>36</v>
      </c>
      <c r="AC9" t="s">
        <v>46</v>
      </c>
      <c r="AE9" s="2" t="s">
        <v>36</v>
      </c>
      <c r="AG9" s="2" t="s">
        <v>36</v>
      </c>
      <c r="AH9" t="s">
        <v>38</v>
      </c>
      <c r="AJ9" s="2" t="s">
        <v>36</v>
      </c>
      <c r="AK9" t="s">
        <v>47</v>
      </c>
      <c r="AM9" s="2" t="s">
        <v>36</v>
      </c>
      <c r="AN9" t="s">
        <v>48</v>
      </c>
      <c r="AP9" s="2" t="s">
        <v>36</v>
      </c>
      <c r="AQ9" t="s">
        <v>45</v>
      </c>
      <c r="AW9" s="3" t="s">
        <v>14</v>
      </c>
      <c r="AX9" s="4">
        <v>164</v>
      </c>
    </row>
    <row r="10" spans="1:50" x14ac:dyDescent="0.3">
      <c r="A10">
        <v>100009</v>
      </c>
      <c r="B10">
        <v>75</v>
      </c>
      <c r="C10" t="str">
        <f t="shared" si="0"/>
        <v>60+</v>
      </c>
      <c r="D10" t="s">
        <v>13</v>
      </c>
      <c r="E10" t="s">
        <v>16</v>
      </c>
      <c r="F10" t="s">
        <v>22</v>
      </c>
      <c r="G10" t="s">
        <v>25</v>
      </c>
      <c r="H10">
        <v>12</v>
      </c>
      <c r="I10">
        <v>85886</v>
      </c>
      <c r="J10" t="s">
        <v>28</v>
      </c>
      <c r="K10" t="s">
        <v>30</v>
      </c>
      <c r="L10" t="s">
        <v>32</v>
      </c>
      <c r="M10">
        <v>3</v>
      </c>
      <c r="S10" s="3" t="s">
        <v>12</v>
      </c>
      <c r="T10" s="4">
        <v>473</v>
      </c>
      <c r="V10" s="3" t="s">
        <v>41</v>
      </c>
      <c r="W10" s="4">
        <v>225</v>
      </c>
      <c r="Y10" s="3" t="s">
        <v>14</v>
      </c>
      <c r="Z10" s="4">
        <v>164</v>
      </c>
      <c r="AB10" s="3" t="s">
        <v>14</v>
      </c>
      <c r="AC10" s="4">
        <v>122246.14634146342</v>
      </c>
      <c r="AE10" s="3" t="s">
        <v>14</v>
      </c>
      <c r="AG10" s="3" t="s">
        <v>23</v>
      </c>
      <c r="AH10" s="4">
        <v>203</v>
      </c>
      <c r="AJ10" s="3" t="s">
        <v>23</v>
      </c>
      <c r="AK10" s="4">
        <v>2.9556650246305418</v>
      </c>
      <c r="AM10" s="3" t="s">
        <v>23</v>
      </c>
      <c r="AN10" s="4">
        <v>9.931034482758621</v>
      </c>
      <c r="AO10" s="4"/>
      <c r="AP10" s="3" t="s">
        <v>28</v>
      </c>
      <c r="AQ10" s="4">
        <v>67462994</v>
      </c>
      <c r="AW10" s="3" t="s">
        <v>19</v>
      </c>
      <c r="AX10" s="4">
        <v>181</v>
      </c>
    </row>
    <row r="11" spans="1:50" x14ac:dyDescent="0.3">
      <c r="A11">
        <v>100010</v>
      </c>
      <c r="B11">
        <v>88</v>
      </c>
      <c r="C11" t="str">
        <f t="shared" si="0"/>
        <v>60+</v>
      </c>
      <c r="D11" t="s">
        <v>13</v>
      </c>
      <c r="E11" t="s">
        <v>15</v>
      </c>
      <c r="F11" t="s">
        <v>21</v>
      </c>
      <c r="G11" t="s">
        <v>27</v>
      </c>
      <c r="H11">
        <v>11</v>
      </c>
      <c r="I11">
        <v>67911</v>
      </c>
      <c r="J11" t="s">
        <v>29</v>
      </c>
      <c r="K11" t="s">
        <v>8</v>
      </c>
      <c r="L11" t="s">
        <v>33</v>
      </c>
      <c r="M11">
        <v>5</v>
      </c>
      <c r="S11" s="3" t="s">
        <v>13</v>
      </c>
      <c r="T11" s="4">
        <v>527</v>
      </c>
      <c r="V11" s="3" t="s">
        <v>42</v>
      </c>
      <c r="W11" s="4">
        <v>253</v>
      </c>
      <c r="Y11" s="3" t="s">
        <v>19</v>
      </c>
      <c r="Z11" s="4">
        <v>181</v>
      </c>
      <c r="AB11" s="3" t="s">
        <v>19</v>
      </c>
      <c r="AC11" s="4">
        <v>128585.47513812155</v>
      </c>
      <c r="AE11" s="3" t="s">
        <v>19</v>
      </c>
      <c r="AG11" s="3" t="s">
        <v>24</v>
      </c>
      <c r="AH11" s="4">
        <v>203</v>
      </c>
      <c r="AJ11" s="3" t="s">
        <v>24</v>
      </c>
      <c r="AK11" s="4">
        <v>2.8177339901477834</v>
      </c>
      <c r="AM11" s="3" t="s">
        <v>24</v>
      </c>
      <c r="AN11" s="4">
        <v>10.729064039408867</v>
      </c>
      <c r="AO11" s="4"/>
      <c r="AP11" s="3" t="s">
        <v>29</v>
      </c>
      <c r="AQ11" s="4">
        <v>57304181</v>
      </c>
      <c r="AW11" s="3" t="s">
        <v>18</v>
      </c>
      <c r="AX11" s="4">
        <v>175</v>
      </c>
    </row>
    <row r="12" spans="1:50" x14ac:dyDescent="0.3">
      <c r="A12">
        <v>100011</v>
      </c>
      <c r="B12">
        <v>24</v>
      </c>
      <c r="C12" t="str">
        <f t="shared" si="0"/>
        <v>19-40</v>
      </c>
      <c r="D12" t="s">
        <v>13</v>
      </c>
      <c r="E12" t="s">
        <v>19</v>
      </c>
      <c r="F12" t="s">
        <v>24</v>
      </c>
      <c r="G12" t="s">
        <v>27</v>
      </c>
      <c r="H12">
        <v>15</v>
      </c>
      <c r="I12">
        <v>231638</v>
      </c>
      <c r="J12" t="s">
        <v>29</v>
      </c>
      <c r="K12" t="s">
        <v>31</v>
      </c>
      <c r="L12" t="s">
        <v>34</v>
      </c>
      <c r="M12">
        <v>5</v>
      </c>
      <c r="S12" s="3" t="s">
        <v>37</v>
      </c>
      <c r="T12" s="4">
        <v>1000</v>
      </c>
      <c r="V12" s="3" t="s">
        <v>43</v>
      </c>
      <c r="W12" s="4">
        <v>216</v>
      </c>
      <c r="Y12" s="3" t="s">
        <v>18</v>
      </c>
      <c r="Z12" s="4">
        <v>175</v>
      </c>
      <c r="AB12" s="3" t="s">
        <v>18</v>
      </c>
      <c r="AC12" s="4">
        <v>119392.49142857143</v>
      </c>
      <c r="AE12" s="3" t="s">
        <v>18</v>
      </c>
      <c r="AG12" s="3" t="s">
        <v>20</v>
      </c>
      <c r="AH12" s="4">
        <v>173</v>
      </c>
      <c r="AJ12" s="3" t="s">
        <v>20</v>
      </c>
      <c r="AK12" s="4">
        <v>3.0057803468208091</v>
      </c>
      <c r="AM12" s="3" t="s">
        <v>20</v>
      </c>
      <c r="AN12" s="4">
        <v>10.502890173410405</v>
      </c>
      <c r="AO12" s="4"/>
      <c r="AP12" s="3" t="s">
        <v>37</v>
      </c>
      <c r="AQ12" s="4">
        <v>124767175</v>
      </c>
      <c r="AW12" s="3" t="s">
        <v>17</v>
      </c>
      <c r="AX12" s="4">
        <v>169</v>
      </c>
    </row>
    <row r="13" spans="1:50" x14ac:dyDescent="0.3">
      <c r="A13">
        <v>100012</v>
      </c>
      <c r="B13">
        <v>3</v>
      </c>
      <c r="C13" t="str">
        <f t="shared" si="0"/>
        <v>0-18</v>
      </c>
      <c r="D13" t="s">
        <v>13</v>
      </c>
      <c r="E13" t="s">
        <v>15</v>
      </c>
      <c r="F13" t="s">
        <v>24</v>
      </c>
      <c r="G13" t="s">
        <v>27</v>
      </c>
      <c r="H13">
        <v>16</v>
      </c>
      <c r="I13">
        <v>153818</v>
      </c>
      <c r="J13" t="s">
        <v>28</v>
      </c>
      <c r="K13" t="s">
        <v>8</v>
      </c>
      <c r="L13" t="s">
        <v>35</v>
      </c>
      <c r="M13">
        <v>1</v>
      </c>
      <c r="V13" s="3" t="s">
        <v>44</v>
      </c>
      <c r="W13" s="4">
        <v>306</v>
      </c>
      <c r="Y13" s="3" t="s">
        <v>17</v>
      </c>
      <c r="Z13" s="4">
        <v>169</v>
      </c>
      <c r="AB13" s="3" t="s">
        <v>17</v>
      </c>
      <c r="AC13" s="4">
        <v>120059.5325443787</v>
      </c>
      <c r="AE13" s="3" t="s">
        <v>17</v>
      </c>
      <c r="AG13" s="3" t="s">
        <v>22</v>
      </c>
      <c r="AH13" s="4">
        <v>204</v>
      </c>
      <c r="AJ13" s="3" t="s">
        <v>22</v>
      </c>
      <c r="AK13" s="4">
        <v>2.9117647058823528</v>
      </c>
      <c r="AM13" s="3" t="s">
        <v>22</v>
      </c>
      <c r="AN13" s="4">
        <v>10.171568627450981</v>
      </c>
      <c r="AO13" s="4"/>
      <c r="AW13" s="3" t="s">
        <v>16</v>
      </c>
      <c r="AX13" s="4">
        <v>136</v>
      </c>
    </row>
    <row r="14" spans="1:50" x14ac:dyDescent="0.3">
      <c r="A14">
        <v>100013</v>
      </c>
      <c r="B14">
        <v>22</v>
      </c>
      <c r="C14" t="str">
        <f t="shared" si="0"/>
        <v>19-40</v>
      </c>
      <c r="D14" t="s">
        <v>13</v>
      </c>
      <c r="E14" t="s">
        <v>19</v>
      </c>
      <c r="F14" t="s">
        <v>24</v>
      </c>
      <c r="G14" t="s">
        <v>25</v>
      </c>
      <c r="H14">
        <v>17</v>
      </c>
      <c r="I14">
        <v>90422</v>
      </c>
      <c r="J14" t="s">
        <v>29</v>
      </c>
      <c r="K14" t="s">
        <v>31</v>
      </c>
      <c r="L14" t="s">
        <v>35</v>
      </c>
      <c r="M14">
        <v>4</v>
      </c>
      <c r="V14" s="3" t="s">
        <v>37</v>
      </c>
      <c r="W14" s="4">
        <v>1000</v>
      </c>
      <c r="Y14" s="3" t="s">
        <v>16</v>
      </c>
      <c r="Z14" s="4">
        <v>136</v>
      </c>
      <c r="AB14" s="3" t="s">
        <v>16</v>
      </c>
      <c r="AC14" s="4">
        <v>136755.73529411765</v>
      </c>
      <c r="AE14" s="3" t="s">
        <v>16</v>
      </c>
      <c r="AG14" s="3" t="s">
        <v>21</v>
      </c>
      <c r="AH14" s="4">
        <v>217</v>
      </c>
      <c r="AJ14" s="3" t="s">
        <v>21</v>
      </c>
      <c r="AK14" s="4">
        <v>2.9216589861751152</v>
      </c>
      <c r="AM14" s="3" t="s">
        <v>21</v>
      </c>
      <c r="AN14" s="4">
        <v>10.387096774193548</v>
      </c>
      <c r="AO14" s="4"/>
      <c r="AW14" s="3" t="s">
        <v>15</v>
      </c>
      <c r="AX14" s="4">
        <v>175</v>
      </c>
    </row>
    <row r="15" spans="1:50" x14ac:dyDescent="0.3">
      <c r="A15">
        <v>100014</v>
      </c>
      <c r="B15">
        <v>53</v>
      </c>
      <c r="C15" t="str">
        <f t="shared" si="0"/>
        <v>41-60</v>
      </c>
      <c r="D15" t="s">
        <v>13</v>
      </c>
      <c r="E15" t="s">
        <v>18</v>
      </c>
      <c r="F15" t="s">
        <v>23</v>
      </c>
      <c r="G15" t="s">
        <v>26</v>
      </c>
      <c r="H15">
        <v>2</v>
      </c>
      <c r="I15">
        <v>242956</v>
      </c>
      <c r="J15" t="s">
        <v>28</v>
      </c>
      <c r="K15" t="s">
        <v>8</v>
      </c>
      <c r="L15" t="s">
        <v>35</v>
      </c>
      <c r="M15">
        <v>2</v>
      </c>
      <c r="Y15" s="3" t="s">
        <v>15</v>
      </c>
      <c r="Z15" s="4">
        <v>175</v>
      </c>
      <c r="AB15" s="3" t="s">
        <v>15</v>
      </c>
      <c r="AC15" s="4">
        <v>123784.62285714285</v>
      </c>
      <c r="AE15" s="3" t="s">
        <v>15</v>
      </c>
      <c r="AG15" s="3" t="s">
        <v>37</v>
      </c>
      <c r="AH15" s="4">
        <v>1000</v>
      </c>
      <c r="AJ15" s="3" t="s">
        <v>37</v>
      </c>
      <c r="AK15" s="4">
        <v>2.92</v>
      </c>
      <c r="AM15" s="3" t="s">
        <v>37</v>
      </c>
      <c r="AN15" s="4">
        <v>10.34</v>
      </c>
      <c r="AO15" s="4"/>
      <c r="AW15" s="3" t="s">
        <v>37</v>
      </c>
      <c r="AX15" s="4">
        <v>1000</v>
      </c>
    </row>
    <row r="16" spans="1:50" x14ac:dyDescent="0.3">
      <c r="A16">
        <v>100015</v>
      </c>
      <c r="B16">
        <v>2</v>
      </c>
      <c r="C16" t="str">
        <f t="shared" si="0"/>
        <v>0-18</v>
      </c>
      <c r="D16" t="s">
        <v>12</v>
      </c>
      <c r="E16" t="s">
        <v>16</v>
      </c>
      <c r="F16" t="s">
        <v>20</v>
      </c>
      <c r="G16" t="s">
        <v>26</v>
      </c>
      <c r="H16">
        <v>18</v>
      </c>
      <c r="I16">
        <v>193811</v>
      </c>
      <c r="J16" t="s">
        <v>29</v>
      </c>
      <c r="K16" t="s">
        <v>8</v>
      </c>
      <c r="L16" t="s">
        <v>35</v>
      </c>
      <c r="M16">
        <v>4</v>
      </c>
      <c r="Y16" s="3" t="s">
        <v>37</v>
      </c>
      <c r="Z16" s="4">
        <v>1000</v>
      </c>
      <c r="AB16" s="3" t="s">
        <v>37</v>
      </c>
      <c r="AC16" s="4">
        <v>124767.175</v>
      </c>
      <c r="AE16" s="3" t="s">
        <v>37</v>
      </c>
    </row>
    <row r="17" spans="1:44" x14ac:dyDescent="0.3">
      <c r="A17">
        <v>100016</v>
      </c>
      <c r="B17">
        <v>88</v>
      </c>
      <c r="C17" t="str">
        <f t="shared" si="0"/>
        <v>60+</v>
      </c>
      <c r="D17" t="s">
        <v>12</v>
      </c>
      <c r="E17" t="s">
        <v>19</v>
      </c>
      <c r="F17" t="s">
        <v>21</v>
      </c>
      <c r="G17" t="s">
        <v>25</v>
      </c>
      <c r="H17">
        <v>12</v>
      </c>
      <c r="I17">
        <v>241512</v>
      </c>
      <c r="J17" t="s">
        <v>28</v>
      </c>
      <c r="K17" t="s">
        <v>30</v>
      </c>
      <c r="L17" t="s">
        <v>34</v>
      </c>
      <c r="M17">
        <v>4</v>
      </c>
    </row>
    <row r="18" spans="1:44" x14ac:dyDescent="0.3">
      <c r="A18">
        <v>100017</v>
      </c>
      <c r="B18">
        <v>30</v>
      </c>
      <c r="C18" t="str">
        <f t="shared" si="0"/>
        <v>19-40</v>
      </c>
      <c r="D18" t="s">
        <v>13</v>
      </c>
      <c r="E18" t="s">
        <v>17</v>
      </c>
      <c r="F18" t="s">
        <v>23</v>
      </c>
      <c r="G18" t="s">
        <v>27</v>
      </c>
      <c r="H18">
        <v>19</v>
      </c>
      <c r="I18">
        <v>231259</v>
      </c>
      <c r="J18" t="s">
        <v>28</v>
      </c>
      <c r="K18" t="s">
        <v>8</v>
      </c>
      <c r="L18" t="s">
        <v>35</v>
      </c>
      <c r="M18">
        <v>4</v>
      </c>
    </row>
    <row r="19" spans="1:44" x14ac:dyDescent="0.3">
      <c r="A19">
        <v>100018</v>
      </c>
      <c r="B19">
        <v>38</v>
      </c>
      <c r="C19" t="str">
        <f t="shared" si="0"/>
        <v>19-40</v>
      </c>
      <c r="D19" t="s">
        <v>12</v>
      </c>
      <c r="E19" t="s">
        <v>14</v>
      </c>
      <c r="F19" t="s">
        <v>21</v>
      </c>
      <c r="G19" t="s">
        <v>26</v>
      </c>
      <c r="H19">
        <v>18</v>
      </c>
      <c r="I19">
        <v>75369</v>
      </c>
      <c r="J19" t="s">
        <v>28</v>
      </c>
      <c r="K19" t="s">
        <v>30</v>
      </c>
      <c r="L19" t="s">
        <v>32</v>
      </c>
      <c r="M19">
        <v>1</v>
      </c>
      <c r="V19" s="5" t="s">
        <v>55</v>
      </c>
      <c r="Y19" s="5" t="s">
        <v>56</v>
      </c>
      <c r="AB19" s="3" t="s">
        <v>68</v>
      </c>
    </row>
    <row r="20" spans="1:44" x14ac:dyDescent="0.3">
      <c r="A20">
        <v>100019</v>
      </c>
      <c r="B20">
        <v>2</v>
      </c>
      <c r="C20" t="str">
        <f t="shared" si="0"/>
        <v>0-18</v>
      </c>
      <c r="D20" t="s">
        <v>12</v>
      </c>
      <c r="E20" t="s">
        <v>17</v>
      </c>
      <c r="F20" t="s">
        <v>21</v>
      </c>
      <c r="G20" t="s">
        <v>27</v>
      </c>
      <c r="H20">
        <v>17</v>
      </c>
      <c r="I20">
        <v>3893</v>
      </c>
      <c r="J20" t="s">
        <v>28</v>
      </c>
      <c r="K20" t="s">
        <v>31</v>
      </c>
      <c r="L20" t="s">
        <v>32</v>
      </c>
      <c r="M20">
        <v>1</v>
      </c>
      <c r="O20" s="2" t="s">
        <v>36</v>
      </c>
      <c r="V20">
        <f>COUNTIF(Table2[Payment_Mode],"Cash")</f>
        <v>334</v>
      </c>
      <c r="Y20">
        <f>COUNTA(Table2[Patient_ID])</f>
        <v>1000</v>
      </c>
      <c r="AB20">
        <f>AVERAGE(Table2[Treatment_Cost])</f>
        <v>124767.175</v>
      </c>
    </row>
    <row r="21" spans="1:44" x14ac:dyDescent="0.3">
      <c r="A21">
        <v>100020</v>
      </c>
      <c r="B21">
        <v>64</v>
      </c>
      <c r="C21" t="str">
        <f t="shared" si="0"/>
        <v>60+</v>
      </c>
      <c r="D21" t="s">
        <v>13</v>
      </c>
      <c r="E21" t="s">
        <v>17</v>
      </c>
      <c r="F21" t="s">
        <v>20</v>
      </c>
      <c r="G21" t="s">
        <v>25</v>
      </c>
      <c r="H21">
        <v>6</v>
      </c>
      <c r="I21">
        <v>32573</v>
      </c>
      <c r="J21" t="s">
        <v>28</v>
      </c>
      <c r="K21" t="s">
        <v>8</v>
      </c>
      <c r="L21" t="s">
        <v>35</v>
      </c>
      <c r="M21">
        <v>2</v>
      </c>
      <c r="O21" s="3" t="s">
        <v>14</v>
      </c>
    </row>
    <row r="22" spans="1:44" x14ac:dyDescent="0.3">
      <c r="A22">
        <v>100021</v>
      </c>
      <c r="B22">
        <v>60</v>
      </c>
      <c r="C22" t="str">
        <f t="shared" si="0"/>
        <v>41-60</v>
      </c>
      <c r="D22" t="s">
        <v>13</v>
      </c>
      <c r="E22" t="s">
        <v>14</v>
      </c>
      <c r="F22" t="s">
        <v>24</v>
      </c>
      <c r="G22" t="s">
        <v>27</v>
      </c>
      <c r="H22">
        <v>15</v>
      </c>
      <c r="I22">
        <v>98907</v>
      </c>
      <c r="J22" t="s">
        <v>29</v>
      </c>
      <c r="K22" t="s">
        <v>8</v>
      </c>
      <c r="L22" t="s">
        <v>32</v>
      </c>
      <c r="M22">
        <v>4</v>
      </c>
      <c r="O22" s="3" t="s">
        <v>19</v>
      </c>
      <c r="S22" s="5" t="s">
        <v>49</v>
      </c>
      <c r="V22" s="5" t="s">
        <v>53</v>
      </c>
      <c r="AE22" s="2" t="s">
        <v>38</v>
      </c>
      <c r="AF22" s="2" t="s">
        <v>39</v>
      </c>
    </row>
    <row r="23" spans="1:44" x14ac:dyDescent="0.3">
      <c r="A23">
        <v>100022</v>
      </c>
      <c r="B23">
        <v>21</v>
      </c>
      <c r="C23" t="str">
        <f t="shared" si="0"/>
        <v>19-40</v>
      </c>
      <c r="D23" t="s">
        <v>13</v>
      </c>
      <c r="E23" t="s">
        <v>17</v>
      </c>
      <c r="F23" t="s">
        <v>20</v>
      </c>
      <c r="G23" t="s">
        <v>26</v>
      </c>
      <c r="H23">
        <v>3</v>
      </c>
      <c r="I23">
        <v>173946</v>
      </c>
      <c r="J23" t="s">
        <v>29</v>
      </c>
      <c r="K23" t="s">
        <v>31</v>
      </c>
      <c r="L23" t="s">
        <v>33</v>
      </c>
      <c r="M23">
        <v>1</v>
      </c>
      <c r="O23" s="3" t="s">
        <v>18</v>
      </c>
      <c r="S23" s="7">
        <f>SUM(Table2[Treatment_Cost])</f>
        <v>124767175</v>
      </c>
      <c r="V23">
        <f>COUNTIF(Table2[Payment_Mode],"Card")</f>
        <v>350</v>
      </c>
      <c r="Y23" s="5" t="s">
        <v>57</v>
      </c>
      <c r="AE23" s="2" t="s">
        <v>36</v>
      </c>
      <c r="AF23" t="s">
        <v>33</v>
      </c>
      <c r="AG23" t="s">
        <v>32</v>
      </c>
      <c r="AH23" t="s">
        <v>35</v>
      </c>
      <c r="AI23" t="s">
        <v>34</v>
      </c>
      <c r="AJ23" t="s">
        <v>37</v>
      </c>
    </row>
    <row r="24" spans="1:44" x14ac:dyDescent="0.3">
      <c r="A24">
        <v>100023</v>
      </c>
      <c r="B24">
        <v>33</v>
      </c>
      <c r="C24" t="str">
        <f t="shared" si="0"/>
        <v>19-40</v>
      </c>
      <c r="D24" t="s">
        <v>12</v>
      </c>
      <c r="E24" t="s">
        <v>19</v>
      </c>
      <c r="F24" t="s">
        <v>23</v>
      </c>
      <c r="G24" t="s">
        <v>26</v>
      </c>
      <c r="H24">
        <v>6</v>
      </c>
      <c r="I24">
        <v>210434</v>
      </c>
      <c r="J24" t="s">
        <v>28</v>
      </c>
      <c r="K24" t="s">
        <v>31</v>
      </c>
      <c r="L24" t="s">
        <v>34</v>
      </c>
      <c r="M24">
        <v>2</v>
      </c>
      <c r="O24" s="3" t="s">
        <v>17</v>
      </c>
      <c r="Y24">
        <f>COUNTIF(Table2[Outcome],"Recovered")</f>
        <v>238</v>
      </c>
      <c r="AB24">
        <f>AVERAGE(Table2[Length_of_Stay_Days])</f>
        <v>10.34</v>
      </c>
      <c r="AE24" s="3" t="s">
        <v>14</v>
      </c>
      <c r="AF24" s="4">
        <v>37</v>
      </c>
      <c r="AG24" s="4">
        <v>46</v>
      </c>
      <c r="AH24" s="4">
        <v>36</v>
      </c>
      <c r="AI24" s="4">
        <v>45</v>
      </c>
      <c r="AJ24" s="4">
        <v>164</v>
      </c>
    </row>
    <row r="25" spans="1:44" x14ac:dyDescent="0.3">
      <c r="A25">
        <v>100024</v>
      </c>
      <c r="B25">
        <v>76</v>
      </c>
      <c r="C25" t="str">
        <f t="shared" si="0"/>
        <v>60+</v>
      </c>
      <c r="D25" t="s">
        <v>12</v>
      </c>
      <c r="E25" t="s">
        <v>19</v>
      </c>
      <c r="F25" t="s">
        <v>23</v>
      </c>
      <c r="G25" t="s">
        <v>27</v>
      </c>
      <c r="H25">
        <v>3</v>
      </c>
      <c r="I25">
        <v>101956</v>
      </c>
      <c r="J25" t="s">
        <v>28</v>
      </c>
      <c r="K25" t="s">
        <v>8</v>
      </c>
      <c r="L25" t="s">
        <v>35</v>
      </c>
      <c r="M25">
        <v>2</v>
      </c>
      <c r="O25" s="3" t="s">
        <v>16</v>
      </c>
      <c r="S25" s="5" t="s">
        <v>50</v>
      </c>
      <c r="V25" s="5" t="s">
        <v>54</v>
      </c>
      <c r="AE25" s="3" t="s">
        <v>19</v>
      </c>
      <c r="AF25" s="4">
        <v>52</v>
      </c>
      <c r="AG25" s="4">
        <v>44</v>
      </c>
      <c r="AH25" s="4">
        <v>45</v>
      </c>
      <c r="AI25" s="4">
        <v>40</v>
      </c>
      <c r="AJ25" s="4">
        <v>181</v>
      </c>
      <c r="AM25" s="2" t="s">
        <v>36</v>
      </c>
      <c r="AN25" t="s">
        <v>69</v>
      </c>
    </row>
    <row r="26" spans="1:44" x14ac:dyDescent="0.3">
      <c r="A26">
        <v>100025</v>
      </c>
      <c r="B26">
        <v>58</v>
      </c>
      <c r="C26" t="str">
        <f t="shared" si="0"/>
        <v>41-60</v>
      </c>
      <c r="D26" t="s">
        <v>13</v>
      </c>
      <c r="E26" t="s">
        <v>19</v>
      </c>
      <c r="F26" t="s">
        <v>23</v>
      </c>
      <c r="G26" t="s">
        <v>25</v>
      </c>
      <c r="H26">
        <v>1</v>
      </c>
      <c r="I26">
        <v>220532</v>
      </c>
      <c r="J26" t="s">
        <v>28</v>
      </c>
      <c r="K26" t="s">
        <v>31</v>
      </c>
      <c r="L26" t="s">
        <v>35</v>
      </c>
      <c r="M26">
        <v>4</v>
      </c>
      <c r="O26" s="3" t="s">
        <v>15</v>
      </c>
      <c r="S26">
        <f>SUMIF(Table2[Insurance],"Yes",Table2[Treatment_Cost])</f>
        <v>57304181</v>
      </c>
      <c r="V26">
        <f>COUNTIF(Table2[Payment_Mode],"Insurance")</f>
        <v>316</v>
      </c>
      <c r="Y26" s="5" t="s">
        <v>58</v>
      </c>
      <c r="AE26" s="3" t="s">
        <v>18</v>
      </c>
      <c r="AF26" s="4">
        <v>37</v>
      </c>
      <c r="AG26" s="4">
        <v>49</v>
      </c>
      <c r="AH26" s="4">
        <v>41</v>
      </c>
      <c r="AI26" s="4">
        <v>48</v>
      </c>
      <c r="AJ26" s="4">
        <v>175</v>
      </c>
      <c r="AM26" s="3" t="s">
        <v>28</v>
      </c>
      <c r="AN26" s="4">
        <v>67462994</v>
      </c>
      <c r="AO26" s="4"/>
      <c r="AQ26" s="2" t="s">
        <v>36</v>
      </c>
      <c r="AR26" t="s">
        <v>52</v>
      </c>
    </row>
    <row r="27" spans="1:44" x14ac:dyDescent="0.3">
      <c r="A27">
        <v>100026</v>
      </c>
      <c r="B27">
        <v>22</v>
      </c>
      <c r="C27" t="str">
        <f t="shared" si="0"/>
        <v>19-40</v>
      </c>
      <c r="D27" t="s">
        <v>13</v>
      </c>
      <c r="E27" t="s">
        <v>14</v>
      </c>
      <c r="F27" t="s">
        <v>20</v>
      </c>
      <c r="G27" t="s">
        <v>27</v>
      </c>
      <c r="H27">
        <v>13</v>
      </c>
      <c r="I27">
        <v>120580</v>
      </c>
      <c r="J27" t="s">
        <v>29</v>
      </c>
      <c r="K27" t="s">
        <v>30</v>
      </c>
      <c r="L27" t="s">
        <v>34</v>
      </c>
      <c r="M27">
        <v>3</v>
      </c>
      <c r="O27" s="3" t="s">
        <v>37</v>
      </c>
      <c r="Y27" s="6">
        <f>COUNTIF(Table2[Outcome],"Recovered")/(COUNTA(Table2[Patient_ID]))</f>
        <v>0.23799999999999999</v>
      </c>
      <c r="AB27" s="4">
        <f>COUNTIF(Table2[Outcome],"Recovered")/(COUNTA(Table2[Patient_ID]))</f>
        <v>0.23799999999999999</v>
      </c>
      <c r="AE27" s="3" t="s">
        <v>17</v>
      </c>
      <c r="AF27" s="4">
        <v>55</v>
      </c>
      <c r="AG27" s="4">
        <v>40</v>
      </c>
      <c r="AH27" s="4">
        <v>42</v>
      </c>
      <c r="AI27" s="4">
        <v>32</v>
      </c>
      <c r="AJ27" s="4">
        <v>169</v>
      </c>
      <c r="AM27" s="3" t="s">
        <v>29</v>
      </c>
      <c r="AN27" s="4">
        <v>57304181</v>
      </c>
      <c r="AO27" s="4"/>
      <c r="AQ27" s="3" t="s">
        <v>30</v>
      </c>
      <c r="AR27" s="4">
        <v>350</v>
      </c>
    </row>
    <row r="28" spans="1:44" x14ac:dyDescent="0.3">
      <c r="A28">
        <v>100027</v>
      </c>
      <c r="B28">
        <v>89</v>
      </c>
      <c r="C28" t="str">
        <f t="shared" si="0"/>
        <v>60+</v>
      </c>
      <c r="D28" t="s">
        <v>13</v>
      </c>
      <c r="E28" t="s">
        <v>17</v>
      </c>
      <c r="F28" t="s">
        <v>21</v>
      </c>
      <c r="G28" t="s">
        <v>25</v>
      </c>
      <c r="H28">
        <v>14</v>
      </c>
      <c r="I28">
        <v>166439</v>
      </c>
      <c r="J28" t="s">
        <v>28</v>
      </c>
      <c r="K28" t="s">
        <v>31</v>
      </c>
      <c r="L28" t="s">
        <v>32</v>
      </c>
      <c r="M28">
        <v>4</v>
      </c>
      <c r="S28" s="5" t="s">
        <v>51</v>
      </c>
      <c r="AE28" s="3" t="s">
        <v>16</v>
      </c>
      <c r="AF28" s="4">
        <v>32</v>
      </c>
      <c r="AG28" s="4">
        <v>32</v>
      </c>
      <c r="AH28" s="4">
        <v>35</v>
      </c>
      <c r="AI28" s="4">
        <v>37</v>
      </c>
      <c r="AJ28" s="4">
        <v>136</v>
      </c>
      <c r="AM28" s="3" t="s">
        <v>37</v>
      </c>
      <c r="AN28" s="4">
        <v>124767175</v>
      </c>
      <c r="AO28" s="4"/>
      <c r="AQ28" s="3" t="s">
        <v>31</v>
      </c>
      <c r="AR28" s="4">
        <v>334</v>
      </c>
    </row>
    <row r="29" spans="1:44" x14ac:dyDescent="0.3">
      <c r="A29">
        <v>100028</v>
      </c>
      <c r="B29">
        <v>49</v>
      </c>
      <c r="C29" t="str">
        <f t="shared" si="0"/>
        <v>41-60</v>
      </c>
      <c r="D29" t="s">
        <v>12</v>
      </c>
      <c r="E29" t="s">
        <v>14</v>
      </c>
      <c r="F29" t="s">
        <v>21</v>
      </c>
      <c r="G29" t="s">
        <v>27</v>
      </c>
      <c r="H29">
        <v>13</v>
      </c>
      <c r="I29">
        <v>154271</v>
      </c>
      <c r="J29" t="s">
        <v>28</v>
      </c>
      <c r="K29" t="s">
        <v>31</v>
      </c>
      <c r="L29" t="s">
        <v>34</v>
      </c>
      <c r="M29">
        <v>3</v>
      </c>
      <c r="S29">
        <f>SUMIF(Table2[Insurance],"No",Table2[Treatment_Cost])</f>
        <v>67462994</v>
      </c>
      <c r="Y29" s="5" t="s">
        <v>59</v>
      </c>
      <c r="AE29" s="3" t="s">
        <v>15</v>
      </c>
      <c r="AF29" s="4">
        <v>37</v>
      </c>
      <c r="AG29" s="4">
        <v>53</v>
      </c>
      <c r="AH29" s="4">
        <v>39</v>
      </c>
      <c r="AI29" s="4">
        <v>46</v>
      </c>
      <c r="AJ29" s="4">
        <v>175</v>
      </c>
      <c r="AQ29" s="3" t="s">
        <v>8</v>
      </c>
      <c r="AR29" s="4">
        <v>316</v>
      </c>
    </row>
    <row r="30" spans="1:44" x14ac:dyDescent="0.3">
      <c r="A30">
        <v>100029</v>
      </c>
      <c r="B30">
        <v>59</v>
      </c>
      <c r="C30" t="str">
        <f t="shared" si="0"/>
        <v>41-60</v>
      </c>
      <c r="D30" t="s">
        <v>12</v>
      </c>
      <c r="E30" t="s">
        <v>19</v>
      </c>
      <c r="F30" t="s">
        <v>22</v>
      </c>
      <c r="G30" t="s">
        <v>26</v>
      </c>
      <c r="H30">
        <v>4</v>
      </c>
      <c r="I30">
        <v>249672</v>
      </c>
      <c r="J30" t="s">
        <v>28</v>
      </c>
      <c r="K30" t="s">
        <v>8</v>
      </c>
      <c r="L30" t="s">
        <v>34</v>
      </c>
      <c r="M30">
        <v>2</v>
      </c>
      <c r="V30" s="7"/>
      <c r="Y30">
        <f>COUNTIF(Table2[Outcome],"Deceased")/COUNTA(Table2[Patient_ID])</f>
        <v>0.25</v>
      </c>
      <c r="AE30" s="3" t="s">
        <v>37</v>
      </c>
      <c r="AF30" s="4">
        <v>250</v>
      </c>
      <c r="AG30" s="4">
        <v>264</v>
      </c>
      <c r="AH30" s="4">
        <v>238</v>
      </c>
      <c r="AI30" s="4">
        <v>248</v>
      </c>
      <c r="AJ30" s="4">
        <v>1000</v>
      </c>
      <c r="AQ30" s="3" t="s">
        <v>37</v>
      </c>
      <c r="AR30" s="4">
        <v>1000</v>
      </c>
    </row>
    <row r="31" spans="1:44" x14ac:dyDescent="0.3">
      <c r="A31">
        <v>100030</v>
      </c>
      <c r="B31">
        <v>42</v>
      </c>
      <c r="C31" t="str">
        <f t="shared" si="0"/>
        <v>41-60</v>
      </c>
      <c r="D31" t="s">
        <v>12</v>
      </c>
      <c r="E31" t="s">
        <v>17</v>
      </c>
      <c r="F31" t="s">
        <v>23</v>
      </c>
      <c r="G31" t="s">
        <v>25</v>
      </c>
      <c r="H31">
        <v>7</v>
      </c>
      <c r="I31">
        <v>93404</v>
      </c>
      <c r="J31" t="s">
        <v>28</v>
      </c>
      <c r="K31" t="s">
        <v>30</v>
      </c>
      <c r="L31" t="s">
        <v>32</v>
      </c>
      <c r="M31">
        <v>1</v>
      </c>
    </row>
    <row r="32" spans="1:44" x14ac:dyDescent="0.3">
      <c r="A32">
        <v>100031</v>
      </c>
      <c r="B32">
        <v>60</v>
      </c>
      <c r="C32" t="str">
        <f t="shared" si="0"/>
        <v>41-60</v>
      </c>
      <c r="D32" t="s">
        <v>12</v>
      </c>
      <c r="E32" t="s">
        <v>17</v>
      </c>
      <c r="F32" t="s">
        <v>21</v>
      </c>
      <c r="G32" t="s">
        <v>25</v>
      </c>
      <c r="H32">
        <v>10</v>
      </c>
      <c r="I32">
        <v>207400</v>
      </c>
      <c r="J32" t="s">
        <v>29</v>
      </c>
      <c r="K32" t="s">
        <v>31</v>
      </c>
      <c r="L32" t="s">
        <v>34</v>
      </c>
      <c r="M32">
        <v>5</v>
      </c>
    </row>
    <row r="33" spans="1:25" x14ac:dyDescent="0.3">
      <c r="A33">
        <v>100032</v>
      </c>
      <c r="B33">
        <v>80</v>
      </c>
      <c r="C33" t="str">
        <f t="shared" si="0"/>
        <v>60+</v>
      </c>
      <c r="D33" t="s">
        <v>13</v>
      </c>
      <c r="E33" t="s">
        <v>15</v>
      </c>
      <c r="F33" t="s">
        <v>22</v>
      </c>
      <c r="G33" t="s">
        <v>25</v>
      </c>
      <c r="H33">
        <v>7</v>
      </c>
      <c r="I33">
        <v>59724</v>
      </c>
      <c r="J33" t="s">
        <v>28</v>
      </c>
      <c r="K33" t="s">
        <v>30</v>
      </c>
      <c r="L33" t="s">
        <v>32</v>
      </c>
      <c r="M33">
        <v>2</v>
      </c>
      <c r="Y33" s="5" t="s">
        <v>60</v>
      </c>
    </row>
    <row r="34" spans="1:25" x14ac:dyDescent="0.3">
      <c r="A34">
        <v>100033</v>
      </c>
      <c r="B34">
        <v>15</v>
      </c>
      <c r="C34" t="str">
        <f t="shared" si="0"/>
        <v>0-18</v>
      </c>
      <c r="D34" t="s">
        <v>13</v>
      </c>
      <c r="E34" t="s">
        <v>15</v>
      </c>
      <c r="F34" t="s">
        <v>21</v>
      </c>
      <c r="G34" t="s">
        <v>26</v>
      </c>
      <c r="H34">
        <v>15</v>
      </c>
      <c r="I34">
        <v>88133</v>
      </c>
      <c r="J34" t="s">
        <v>28</v>
      </c>
      <c r="K34" t="s">
        <v>30</v>
      </c>
      <c r="L34" t="s">
        <v>32</v>
      </c>
      <c r="M34">
        <v>1</v>
      </c>
      <c r="Y34" s="6">
        <f>COUNTIF(Table2[Outcome],"Discharged")/COUNTA(Table2[Patient_ID])</f>
        <v>0.26400000000000001</v>
      </c>
    </row>
    <row r="35" spans="1:25" x14ac:dyDescent="0.3">
      <c r="A35">
        <v>100034</v>
      </c>
      <c r="B35">
        <v>62</v>
      </c>
      <c r="C35" t="str">
        <f t="shared" si="0"/>
        <v>60+</v>
      </c>
      <c r="D35" t="s">
        <v>13</v>
      </c>
      <c r="E35" t="s">
        <v>18</v>
      </c>
      <c r="F35" t="s">
        <v>23</v>
      </c>
      <c r="G35" t="s">
        <v>27</v>
      </c>
      <c r="H35">
        <v>15</v>
      </c>
      <c r="I35">
        <v>169477</v>
      </c>
      <c r="J35" t="s">
        <v>29</v>
      </c>
      <c r="K35" t="s">
        <v>30</v>
      </c>
      <c r="L35" t="s">
        <v>34</v>
      </c>
      <c r="M35">
        <v>2</v>
      </c>
    </row>
    <row r="36" spans="1:25" x14ac:dyDescent="0.3">
      <c r="A36">
        <v>100035</v>
      </c>
      <c r="B36">
        <v>62</v>
      </c>
      <c r="C36" t="str">
        <f t="shared" si="0"/>
        <v>60+</v>
      </c>
      <c r="D36" t="s">
        <v>13</v>
      </c>
      <c r="E36" t="s">
        <v>16</v>
      </c>
      <c r="F36" t="s">
        <v>24</v>
      </c>
      <c r="G36" t="s">
        <v>26</v>
      </c>
      <c r="H36">
        <v>4</v>
      </c>
      <c r="I36">
        <v>231304</v>
      </c>
      <c r="J36" t="s">
        <v>28</v>
      </c>
      <c r="K36" t="s">
        <v>8</v>
      </c>
      <c r="L36" t="s">
        <v>33</v>
      </c>
      <c r="M36">
        <v>4</v>
      </c>
    </row>
    <row r="37" spans="1:25" x14ac:dyDescent="0.3">
      <c r="A37">
        <v>100036</v>
      </c>
      <c r="B37">
        <v>47</v>
      </c>
      <c r="C37" t="str">
        <f t="shared" si="0"/>
        <v>41-60</v>
      </c>
      <c r="D37" t="s">
        <v>12</v>
      </c>
      <c r="E37" t="s">
        <v>15</v>
      </c>
      <c r="F37" t="s">
        <v>23</v>
      </c>
      <c r="G37" t="s">
        <v>25</v>
      </c>
      <c r="H37">
        <v>6</v>
      </c>
      <c r="I37">
        <v>241731</v>
      </c>
      <c r="J37" t="s">
        <v>28</v>
      </c>
      <c r="K37" t="s">
        <v>31</v>
      </c>
      <c r="L37" t="s">
        <v>32</v>
      </c>
      <c r="M37">
        <v>3</v>
      </c>
    </row>
    <row r="38" spans="1:25" x14ac:dyDescent="0.3">
      <c r="A38">
        <v>100037</v>
      </c>
      <c r="B38">
        <v>62</v>
      </c>
      <c r="C38" t="str">
        <f t="shared" si="0"/>
        <v>60+</v>
      </c>
      <c r="D38" t="s">
        <v>12</v>
      </c>
      <c r="E38" t="s">
        <v>14</v>
      </c>
      <c r="F38" t="s">
        <v>20</v>
      </c>
      <c r="G38" t="s">
        <v>27</v>
      </c>
      <c r="H38">
        <v>5</v>
      </c>
      <c r="I38">
        <v>17989</v>
      </c>
      <c r="J38" t="s">
        <v>29</v>
      </c>
      <c r="K38" t="s">
        <v>8</v>
      </c>
      <c r="L38" t="s">
        <v>34</v>
      </c>
      <c r="M38">
        <v>2</v>
      </c>
    </row>
    <row r="39" spans="1:25" x14ac:dyDescent="0.3">
      <c r="A39">
        <v>100038</v>
      </c>
      <c r="B39">
        <v>51</v>
      </c>
      <c r="C39" t="str">
        <f t="shared" si="0"/>
        <v>41-60</v>
      </c>
      <c r="D39" t="s">
        <v>13</v>
      </c>
      <c r="E39" t="s">
        <v>15</v>
      </c>
      <c r="F39" t="s">
        <v>21</v>
      </c>
      <c r="G39" t="s">
        <v>26</v>
      </c>
      <c r="H39">
        <v>12</v>
      </c>
      <c r="I39">
        <v>30931</v>
      </c>
      <c r="J39" t="s">
        <v>29</v>
      </c>
      <c r="K39" t="s">
        <v>31</v>
      </c>
      <c r="L39" t="s">
        <v>32</v>
      </c>
      <c r="M39">
        <v>1</v>
      </c>
      <c r="Q39" s="2" t="s">
        <v>36</v>
      </c>
    </row>
    <row r="40" spans="1:25" x14ac:dyDescent="0.3">
      <c r="A40">
        <v>100039</v>
      </c>
      <c r="B40">
        <v>55</v>
      </c>
      <c r="C40" t="str">
        <f t="shared" si="0"/>
        <v>41-60</v>
      </c>
      <c r="D40" t="s">
        <v>13</v>
      </c>
      <c r="E40" t="s">
        <v>18</v>
      </c>
      <c r="F40" t="s">
        <v>21</v>
      </c>
      <c r="G40" t="s">
        <v>25</v>
      </c>
      <c r="H40">
        <v>1</v>
      </c>
      <c r="I40">
        <v>11290</v>
      </c>
      <c r="J40" t="s">
        <v>29</v>
      </c>
      <c r="K40" t="s">
        <v>31</v>
      </c>
      <c r="L40" t="s">
        <v>33</v>
      </c>
      <c r="M40">
        <v>4</v>
      </c>
      <c r="Q40" s="3" t="s">
        <v>12</v>
      </c>
      <c r="T40" s="2" t="s">
        <v>36</v>
      </c>
      <c r="U40" t="s">
        <v>72</v>
      </c>
    </row>
    <row r="41" spans="1:25" x14ac:dyDescent="0.3">
      <c r="A41">
        <v>100040</v>
      </c>
      <c r="B41">
        <v>64</v>
      </c>
      <c r="C41" t="str">
        <f t="shared" si="0"/>
        <v>60+</v>
      </c>
      <c r="D41" t="s">
        <v>12</v>
      </c>
      <c r="E41" t="s">
        <v>17</v>
      </c>
      <c r="F41" t="s">
        <v>20</v>
      </c>
      <c r="G41" t="s">
        <v>25</v>
      </c>
      <c r="H41">
        <v>8</v>
      </c>
      <c r="I41">
        <v>171439</v>
      </c>
      <c r="J41" t="s">
        <v>28</v>
      </c>
      <c r="K41" t="s">
        <v>8</v>
      </c>
      <c r="L41" t="s">
        <v>33</v>
      </c>
      <c r="M41">
        <v>5</v>
      </c>
      <c r="Q41" s="3" t="s">
        <v>13</v>
      </c>
      <c r="T41" s="3" t="s">
        <v>14</v>
      </c>
      <c r="U41" s="4">
        <v>164</v>
      </c>
    </row>
    <row r="42" spans="1:25" x14ac:dyDescent="0.3">
      <c r="A42">
        <v>100041</v>
      </c>
      <c r="B42">
        <v>3</v>
      </c>
      <c r="C42" t="str">
        <f t="shared" si="0"/>
        <v>0-18</v>
      </c>
      <c r="D42" t="s">
        <v>13</v>
      </c>
      <c r="E42" t="s">
        <v>18</v>
      </c>
      <c r="F42" t="s">
        <v>20</v>
      </c>
      <c r="G42" t="s">
        <v>26</v>
      </c>
      <c r="H42">
        <v>1</v>
      </c>
      <c r="I42">
        <v>123136</v>
      </c>
      <c r="J42" t="s">
        <v>28</v>
      </c>
      <c r="K42" t="s">
        <v>30</v>
      </c>
      <c r="L42" t="s">
        <v>35</v>
      </c>
      <c r="M42">
        <v>4</v>
      </c>
      <c r="Q42" s="3" t="s">
        <v>37</v>
      </c>
      <c r="T42" s="3" t="s">
        <v>19</v>
      </c>
      <c r="U42" s="4">
        <v>181</v>
      </c>
    </row>
    <row r="43" spans="1:25" x14ac:dyDescent="0.3">
      <c r="A43">
        <v>100042</v>
      </c>
      <c r="B43">
        <v>51</v>
      </c>
      <c r="C43" t="str">
        <f t="shared" si="0"/>
        <v>41-60</v>
      </c>
      <c r="D43" t="s">
        <v>12</v>
      </c>
      <c r="E43" t="s">
        <v>17</v>
      </c>
      <c r="F43" t="s">
        <v>24</v>
      </c>
      <c r="G43" t="s">
        <v>26</v>
      </c>
      <c r="H43">
        <v>5</v>
      </c>
      <c r="I43">
        <v>81878</v>
      </c>
      <c r="J43" t="s">
        <v>29</v>
      </c>
      <c r="K43" t="s">
        <v>30</v>
      </c>
      <c r="L43" t="s">
        <v>32</v>
      </c>
      <c r="M43">
        <v>3</v>
      </c>
      <c r="T43" s="3" t="s">
        <v>18</v>
      </c>
      <c r="U43" s="4">
        <v>175</v>
      </c>
    </row>
    <row r="44" spans="1:25" x14ac:dyDescent="0.3">
      <c r="A44">
        <v>100043</v>
      </c>
      <c r="B44">
        <v>7</v>
      </c>
      <c r="C44" t="str">
        <f t="shared" si="0"/>
        <v>0-18</v>
      </c>
      <c r="D44" t="s">
        <v>13</v>
      </c>
      <c r="E44" t="s">
        <v>17</v>
      </c>
      <c r="F44" t="s">
        <v>21</v>
      </c>
      <c r="G44" t="s">
        <v>26</v>
      </c>
      <c r="H44">
        <v>6</v>
      </c>
      <c r="I44">
        <v>92477</v>
      </c>
      <c r="J44" t="s">
        <v>29</v>
      </c>
      <c r="K44" t="s">
        <v>31</v>
      </c>
      <c r="L44" t="s">
        <v>32</v>
      </c>
      <c r="M44">
        <v>4</v>
      </c>
      <c r="T44" s="3" t="s">
        <v>17</v>
      </c>
      <c r="U44" s="4">
        <v>169</v>
      </c>
    </row>
    <row r="45" spans="1:25" x14ac:dyDescent="0.3">
      <c r="A45">
        <v>100044</v>
      </c>
      <c r="B45">
        <v>21</v>
      </c>
      <c r="C45" t="str">
        <f t="shared" si="0"/>
        <v>19-40</v>
      </c>
      <c r="D45" t="s">
        <v>13</v>
      </c>
      <c r="E45" t="s">
        <v>16</v>
      </c>
      <c r="F45" t="s">
        <v>21</v>
      </c>
      <c r="G45" t="s">
        <v>25</v>
      </c>
      <c r="H45">
        <v>3</v>
      </c>
      <c r="I45">
        <v>212553</v>
      </c>
      <c r="J45" t="s">
        <v>29</v>
      </c>
      <c r="K45" t="s">
        <v>8</v>
      </c>
      <c r="L45" t="s">
        <v>34</v>
      </c>
      <c r="M45">
        <v>5</v>
      </c>
      <c r="T45" s="3" t="s">
        <v>16</v>
      </c>
      <c r="U45" s="4">
        <v>136</v>
      </c>
    </row>
    <row r="46" spans="1:25" x14ac:dyDescent="0.3">
      <c r="A46">
        <v>100045</v>
      </c>
      <c r="B46">
        <v>73</v>
      </c>
      <c r="C46" t="str">
        <f t="shared" si="0"/>
        <v>60+</v>
      </c>
      <c r="D46" t="s">
        <v>13</v>
      </c>
      <c r="E46" t="s">
        <v>15</v>
      </c>
      <c r="F46" t="s">
        <v>24</v>
      </c>
      <c r="G46" t="s">
        <v>26</v>
      </c>
      <c r="H46">
        <v>15</v>
      </c>
      <c r="I46">
        <v>209370</v>
      </c>
      <c r="J46" t="s">
        <v>28</v>
      </c>
      <c r="K46" t="s">
        <v>30</v>
      </c>
      <c r="L46" t="s">
        <v>32</v>
      </c>
      <c r="M46">
        <v>1</v>
      </c>
      <c r="R46" s="2" t="s">
        <v>36</v>
      </c>
      <c r="T46" s="3" t="s">
        <v>15</v>
      </c>
      <c r="U46" s="4">
        <v>175</v>
      </c>
    </row>
    <row r="47" spans="1:25" x14ac:dyDescent="0.3">
      <c r="A47">
        <v>100046</v>
      </c>
      <c r="B47">
        <v>39</v>
      </c>
      <c r="C47" t="str">
        <f t="shared" si="0"/>
        <v>19-40</v>
      </c>
      <c r="D47" t="s">
        <v>13</v>
      </c>
      <c r="E47" t="s">
        <v>14</v>
      </c>
      <c r="F47" t="s">
        <v>22</v>
      </c>
      <c r="G47" t="s">
        <v>25</v>
      </c>
      <c r="H47">
        <v>5</v>
      </c>
      <c r="I47">
        <v>128299</v>
      </c>
      <c r="J47" t="s">
        <v>28</v>
      </c>
      <c r="K47" t="s">
        <v>30</v>
      </c>
      <c r="L47" t="s">
        <v>35</v>
      </c>
      <c r="M47">
        <v>2</v>
      </c>
      <c r="P47" s="2" t="s">
        <v>36</v>
      </c>
      <c r="R47" s="3" t="s">
        <v>25</v>
      </c>
      <c r="T47" s="3" t="s">
        <v>37</v>
      </c>
      <c r="U47" s="4">
        <v>1000</v>
      </c>
    </row>
    <row r="48" spans="1:25" x14ac:dyDescent="0.3">
      <c r="A48">
        <v>100047</v>
      </c>
      <c r="B48">
        <v>18</v>
      </c>
      <c r="C48" t="str">
        <f t="shared" si="0"/>
        <v>0-18</v>
      </c>
      <c r="D48" t="s">
        <v>13</v>
      </c>
      <c r="E48" t="s">
        <v>14</v>
      </c>
      <c r="F48" t="s">
        <v>24</v>
      </c>
      <c r="G48" t="s">
        <v>26</v>
      </c>
      <c r="H48">
        <v>14</v>
      </c>
      <c r="I48">
        <v>163205</v>
      </c>
      <c r="J48" t="s">
        <v>29</v>
      </c>
      <c r="K48" t="s">
        <v>31</v>
      </c>
      <c r="L48" t="s">
        <v>33</v>
      </c>
      <c r="M48">
        <v>3</v>
      </c>
      <c r="P48" s="3" t="s">
        <v>28</v>
      </c>
      <c r="R48" s="3" t="s">
        <v>27</v>
      </c>
    </row>
    <row r="49" spans="1:18" x14ac:dyDescent="0.3">
      <c r="A49">
        <v>100048</v>
      </c>
      <c r="B49">
        <v>4</v>
      </c>
      <c r="C49" t="str">
        <f t="shared" si="0"/>
        <v>0-18</v>
      </c>
      <c r="D49" t="s">
        <v>13</v>
      </c>
      <c r="E49" t="s">
        <v>19</v>
      </c>
      <c r="F49" t="s">
        <v>23</v>
      </c>
      <c r="G49" t="s">
        <v>25</v>
      </c>
      <c r="H49">
        <v>18</v>
      </c>
      <c r="I49">
        <v>245688</v>
      </c>
      <c r="J49" t="s">
        <v>28</v>
      </c>
      <c r="K49" t="s">
        <v>31</v>
      </c>
      <c r="L49" t="s">
        <v>33</v>
      </c>
      <c r="M49">
        <v>5</v>
      </c>
      <c r="P49" s="3" t="s">
        <v>29</v>
      </c>
      <c r="R49" s="3" t="s">
        <v>26</v>
      </c>
    </row>
    <row r="50" spans="1:18" x14ac:dyDescent="0.3">
      <c r="A50">
        <v>100049</v>
      </c>
      <c r="B50">
        <v>89</v>
      </c>
      <c r="C50" t="str">
        <f t="shared" si="0"/>
        <v>60+</v>
      </c>
      <c r="D50" t="s">
        <v>13</v>
      </c>
      <c r="E50" t="s">
        <v>17</v>
      </c>
      <c r="F50" t="s">
        <v>21</v>
      </c>
      <c r="G50" t="s">
        <v>25</v>
      </c>
      <c r="H50">
        <v>16</v>
      </c>
      <c r="I50">
        <v>107686</v>
      </c>
      <c r="J50" t="s">
        <v>29</v>
      </c>
      <c r="K50" t="s">
        <v>8</v>
      </c>
      <c r="L50" t="s">
        <v>35</v>
      </c>
      <c r="M50">
        <v>3</v>
      </c>
      <c r="P50" s="3" t="s">
        <v>37</v>
      </c>
      <c r="R50" s="3" t="s">
        <v>37</v>
      </c>
    </row>
    <row r="51" spans="1:18" x14ac:dyDescent="0.3">
      <c r="A51">
        <v>100050</v>
      </c>
      <c r="B51">
        <v>60</v>
      </c>
      <c r="C51" t="str">
        <f t="shared" si="0"/>
        <v>41-60</v>
      </c>
      <c r="D51" t="s">
        <v>12</v>
      </c>
      <c r="E51" t="s">
        <v>14</v>
      </c>
      <c r="F51" t="s">
        <v>20</v>
      </c>
      <c r="G51" t="s">
        <v>27</v>
      </c>
      <c r="H51">
        <v>6</v>
      </c>
      <c r="I51">
        <v>160124</v>
      </c>
      <c r="J51" t="s">
        <v>28</v>
      </c>
      <c r="K51" t="s">
        <v>31</v>
      </c>
      <c r="L51" t="s">
        <v>32</v>
      </c>
      <c r="M51">
        <v>4</v>
      </c>
    </row>
    <row r="52" spans="1:18" x14ac:dyDescent="0.3">
      <c r="A52">
        <v>100051</v>
      </c>
      <c r="B52">
        <v>14</v>
      </c>
      <c r="C52" t="str">
        <f t="shared" si="0"/>
        <v>0-18</v>
      </c>
      <c r="D52" t="s">
        <v>12</v>
      </c>
      <c r="E52" t="s">
        <v>16</v>
      </c>
      <c r="F52" t="s">
        <v>23</v>
      </c>
      <c r="G52" t="s">
        <v>26</v>
      </c>
      <c r="H52">
        <v>14</v>
      </c>
      <c r="I52">
        <v>109286</v>
      </c>
      <c r="J52" t="s">
        <v>28</v>
      </c>
      <c r="K52" t="s">
        <v>30</v>
      </c>
      <c r="L52" t="s">
        <v>32</v>
      </c>
      <c r="M52">
        <v>3</v>
      </c>
    </row>
    <row r="53" spans="1:18" x14ac:dyDescent="0.3">
      <c r="A53">
        <v>100052</v>
      </c>
      <c r="B53">
        <v>9</v>
      </c>
      <c r="C53" t="str">
        <f t="shared" si="0"/>
        <v>0-18</v>
      </c>
      <c r="D53" t="s">
        <v>12</v>
      </c>
      <c r="E53" t="s">
        <v>17</v>
      </c>
      <c r="F53" t="s">
        <v>21</v>
      </c>
      <c r="G53" t="s">
        <v>26</v>
      </c>
      <c r="H53">
        <v>8</v>
      </c>
      <c r="I53">
        <v>218561</v>
      </c>
      <c r="J53" t="s">
        <v>28</v>
      </c>
      <c r="K53" t="s">
        <v>30</v>
      </c>
      <c r="L53" t="s">
        <v>35</v>
      </c>
      <c r="M53">
        <v>5</v>
      </c>
    </row>
    <row r="54" spans="1:18" x14ac:dyDescent="0.3">
      <c r="A54">
        <v>100053</v>
      </c>
      <c r="B54">
        <v>53</v>
      </c>
      <c r="C54" t="str">
        <f t="shared" si="0"/>
        <v>41-60</v>
      </c>
      <c r="D54" t="s">
        <v>12</v>
      </c>
      <c r="E54" t="s">
        <v>16</v>
      </c>
      <c r="F54" t="s">
        <v>24</v>
      </c>
      <c r="G54" t="s">
        <v>25</v>
      </c>
      <c r="H54">
        <v>7</v>
      </c>
      <c r="I54">
        <v>42475</v>
      </c>
      <c r="J54" t="s">
        <v>28</v>
      </c>
      <c r="K54" t="s">
        <v>30</v>
      </c>
      <c r="L54" t="s">
        <v>34</v>
      </c>
      <c r="M54">
        <v>2</v>
      </c>
    </row>
    <row r="55" spans="1:18" x14ac:dyDescent="0.3">
      <c r="A55">
        <v>100054</v>
      </c>
      <c r="B55">
        <v>2</v>
      </c>
      <c r="C55" t="str">
        <f t="shared" si="0"/>
        <v>0-18</v>
      </c>
      <c r="D55" t="s">
        <v>12</v>
      </c>
      <c r="E55" t="s">
        <v>14</v>
      </c>
      <c r="F55" t="s">
        <v>23</v>
      </c>
      <c r="G55" t="s">
        <v>25</v>
      </c>
      <c r="H55">
        <v>8</v>
      </c>
      <c r="I55">
        <v>84666</v>
      </c>
      <c r="J55" t="s">
        <v>29</v>
      </c>
      <c r="K55" t="s">
        <v>30</v>
      </c>
      <c r="L55" t="s">
        <v>33</v>
      </c>
      <c r="M55">
        <v>2</v>
      </c>
    </row>
    <row r="56" spans="1:18" x14ac:dyDescent="0.3">
      <c r="A56">
        <v>100055</v>
      </c>
      <c r="B56">
        <v>84</v>
      </c>
      <c r="C56" t="str">
        <f t="shared" si="0"/>
        <v>60+</v>
      </c>
      <c r="D56" t="s">
        <v>13</v>
      </c>
      <c r="E56" t="s">
        <v>14</v>
      </c>
      <c r="F56" t="s">
        <v>21</v>
      </c>
      <c r="G56" t="s">
        <v>25</v>
      </c>
      <c r="H56">
        <v>13</v>
      </c>
      <c r="I56">
        <v>98622</v>
      </c>
      <c r="J56" t="s">
        <v>28</v>
      </c>
      <c r="K56" t="s">
        <v>8</v>
      </c>
      <c r="L56" t="s">
        <v>35</v>
      </c>
      <c r="M56">
        <v>3</v>
      </c>
    </row>
    <row r="57" spans="1:18" x14ac:dyDescent="0.3">
      <c r="A57">
        <v>100056</v>
      </c>
      <c r="B57">
        <v>60</v>
      </c>
      <c r="C57" t="str">
        <f t="shared" si="0"/>
        <v>41-60</v>
      </c>
      <c r="D57" t="s">
        <v>13</v>
      </c>
      <c r="E57" t="s">
        <v>19</v>
      </c>
      <c r="F57" t="s">
        <v>22</v>
      </c>
      <c r="G57" t="s">
        <v>27</v>
      </c>
      <c r="H57">
        <v>6</v>
      </c>
      <c r="I57">
        <v>190728</v>
      </c>
      <c r="J57" t="s">
        <v>28</v>
      </c>
      <c r="K57" t="s">
        <v>8</v>
      </c>
      <c r="L57" t="s">
        <v>35</v>
      </c>
      <c r="M57">
        <v>1</v>
      </c>
    </row>
    <row r="58" spans="1:18" x14ac:dyDescent="0.3">
      <c r="A58">
        <v>100057</v>
      </c>
      <c r="B58">
        <v>71</v>
      </c>
      <c r="C58" t="str">
        <f t="shared" si="0"/>
        <v>60+</v>
      </c>
      <c r="D58" t="s">
        <v>12</v>
      </c>
      <c r="E58" t="s">
        <v>14</v>
      </c>
      <c r="F58" t="s">
        <v>22</v>
      </c>
      <c r="G58" t="s">
        <v>27</v>
      </c>
      <c r="H58">
        <v>18</v>
      </c>
      <c r="I58">
        <v>137705</v>
      </c>
      <c r="J58" t="s">
        <v>29</v>
      </c>
      <c r="K58" t="s">
        <v>31</v>
      </c>
      <c r="L58" t="s">
        <v>32</v>
      </c>
      <c r="M58">
        <v>3</v>
      </c>
    </row>
    <row r="59" spans="1:18" x14ac:dyDescent="0.3">
      <c r="A59">
        <v>100058</v>
      </c>
      <c r="B59">
        <v>44</v>
      </c>
      <c r="C59" t="str">
        <f t="shared" si="0"/>
        <v>41-60</v>
      </c>
      <c r="D59" t="s">
        <v>13</v>
      </c>
      <c r="E59" t="s">
        <v>17</v>
      </c>
      <c r="F59" t="s">
        <v>20</v>
      </c>
      <c r="G59" t="s">
        <v>25</v>
      </c>
      <c r="H59">
        <v>2</v>
      </c>
      <c r="I59">
        <v>150376</v>
      </c>
      <c r="J59" t="s">
        <v>28</v>
      </c>
      <c r="K59" t="s">
        <v>31</v>
      </c>
      <c r="L59" t="s">
        <v>33</v>
      </c>
      <c r="M59">
        <v>4</v>
      </c>
    </row>
    <row r="60" spans="1:18" x14ac:dyDescent="0.3">
      <c r="A60">
        <v>100059</v>
      </c>
      <c r="B60">
        <v>8</v>
      </c>
      <c r="C60" t="str">
        <f t="shared" si="0"/>
        <v>0-18</v>
      </c>
      <c r="D60" t="s">
        <v>12</v>
      </c>
      <c r="E60" t="s">
        <v>17</v>
      </c>
      <c r="F60" t="s">
        <v>21</v>
      </c>
      <c r="G60" t="s">
        <v>26</v>
      </c>
      <c r="H60">
        <v>8</v>
      </c>
      <c r="I60">
        <v>109573</v>
      </c>
      <c r="J60" t="s">
        <v>29</v>
      </c>
      <c r="K60" t="s">
        <v>31</v>
      </c>
      <c r="L60" t="s">
        <v>32</v>
      </c>
      <c r="M60">
        <v>2</v>
      </c>
    </row>
    <row r="61" spans="1:18" x14ac:dyDescent="0.3">
      <c r="A61">
        <v>100060</v>
      </c>
      <c r="B61">
        <v>47</v>
      </c>
      <c r="C61" t="str">
        <f t="shared" si="0"/>
        <v>41-60</v>
      </c>
      <c r="D61" t="s">
        <v>12</v>
      </c>
      <c r="E61" t="s">
        <v>17</v>
      </c>
      <c r="F61" t="s">
        <v>22</v>
      </c>
      <c r="G61" t="s">
        <v>26</v>
      </c>
      <c r="H61">
        <v>11</v>
      </c>
      <c r="I61">
        <v>230892</v>
      </c>
      <c r="J61" t="s">
        <v>29</v>
      </c>
      <c r="K61" t="s">
        <v>8</v>
      </c>
      <c r="L61" t="s">
        <v>35</v>
      </c>
      <c r="M61">
        <v>2</v>
      </c>
    </row>
    <row r="62" spans="1:18" x14ac:dyDescent="0.3">
      <c r="A62">
        <v>100061</v>
      </c>
      <c r="B62">
        <v>35</v>
      </c>
      <c r="C62" t="str">
        <f t="shared" si="0"/>
        <v>19-40</v>
      </c>
      <c r="D62" t="s">
        <v>13</v>
      </c>
      <c r="E62" t="s">
        <v>19</v>
      </c>
      <c r="F62" t="s">
        <v>24</v>
      </c>
      <c r="G62" t="s">
        <v>27</v>
      </c>
      <c r="H62">
        <v>1</v>
      </c>
      <c r="I62">
        <v>48546</v>
      </c>
      <c r="J62" t="s">
        <v>28</v>
      </c>
      <c r="K62" t="s">
        <v>30</v>
      </c>
      <c r="L62" t="s">
        <v>34</v>
      </c>
      <c r="M62">
        <v>2</v>
      </c>
    </row>
    <row r="63" spans="1:18" x14ac:dyDescent="0.3">
      <c r="A63">
        <v>100062</v>
      </c>
      <c r="B63">
        <v>78</v>
      </c>
      <c r="C63" t="str">
        <f t="shared" si="0"/>
        <v>60+</v>
      </c>
      <c r="D63" t="s">
        <v>13</v>
      </c>
      <c r="E63" t="s">
        <v>19</v>
      </c>
      <c r="F63" t="s">
        <v>21</v>
      </c>
      <c r="G63" t="s">
        <v>27</v>
      </c>
      <c r="H63">
        <v>6</v>
      </c>
      <c r="I63">
        <v>9008</v>
      </c>
      <c r="J63" t="s">
        <v>28</v>
      </c>
      <c r="K63" t="s">
        <v>31</v>
      </c>
      <c r="L63" t="s">
        <v>33</v>
      </c>
      <c r="M63">
        <v>1</v>
      </c>
    </row>
    <row r="64" spans="1:18" x14ac:dyDescent="0.3">
      <c r="A64">
        <v>100063</v>
      </c>
      <c r="B64">
        <v>81</v>
      </c>
      <c r="C64" t="str">
        <f t="shared" si="0"/>
        <v>60+</v>
      </c>
      <c r="D64" t="s">
        <v>13</v>
      </c>
      <c r="E64" t="s">
        <v>14</v>
      </c>
      <c r="F64" t="s">
        <v>24</v>
      </c>
      <c r="G64" t="s">
        <v>25</v>
      </c>
      <c r="H64">
        <v>16</v>
      </c>
      <c r="I64">
        <v>50291</v>
      </c>
      <c r="J64" t="s">
        <v>29</v>
      </c>
      <c r="K64" t="s">
        <v>30</v>
      </c>
      <c r="L64" t="s">
        <v>35</v>
      </c>
      <c r="M64">
        <v>1</v>
      </c>
    </row>
    <row r="65" spans="1:13" x14ac:dyDescent="0.3">
      <c r="A65">
        <v>100064</v>
      </c>
      <c r="B65">
        <v>36</v>
      </c>
      <c r="C65" t="str">
        <f t="shared" si="0"/>
        <v>19-40</v>
      </c>
      <c r="D65" t="s">
        <v>12</v>
      </c>
      <c r="E65" t="s">
        <v>18</v>
      </c>
      <c r="F65" t="s">
        <v>24</v>
      </c>
      <c r="G65" t="s">
        <v>26</v>
      </c>
      <c r="H65">
        <v>12</v>
      </c>
      <c r="I65">
        <v>160477</v>
      </c>
      <c r="J65" t="s">
        <v>29</v>
      </c>
      <c r="K65" t="s">
        <v>31</v>
      </c>
      <c r="L65" t="s">
        <v>35</v>
      </c>
      <c r="M65">
        <v>5</v>
      </c>
    </row>
    <row r="66" spans="1:13" x14ac:dyDescent="0.3">
      <c r="A66">
        <v>100065</v>
      </c>
      <c r="B66">
        <v>50</v>
      </c>
      <c r="C66" t="str">
        <f t="shared" ref="C66:C129" si="1">IF(B66&lt;=18,"0-18",IF(B66&lt;=40,"19-40",IF(B66&lt;=60,"41-60","60+")))</f>
        <v>41-60</v>
      </c>
      <c r="D66" t="s">
        <v>13</v>
      </c>
      <c r="E66" t="s">
        <v>18</v>
      </c>
      <c r="F66" t="s">
        <v>22</v>
      </c>
      <c r="G66" t="s">
        <v>25</v>
      </c>
      <c r="H66">
        <v>11</v>
      </c>
      <c r="I66">
        <v>38386</v>
      </c>
      <c r="J66" t="s">
        <v>29</v>
      </c>
      <c r="K66" t="s">
        <v>31</v>
      </c>
      <c r="L66" t="s">
        <v>34</v>
      </c>
      <c r="M66">
        <v>3</v>
      </c>
    </row>
    <row r="67" spans="1:13" x14ac:dyDescent="0.3">
      <c r="A67">
        <v>100066</v>
      </c>
      <c r="B67">
        <v>4</v>
      </c>
      <c r="C67" t="str">
        <f t="shared" si="1"/>
        <v>0-18</v>
      </c>
      <c r="D67" t="s">
        <v>12</v>
      </c>
      <c r="E67" t="s">
        <v>19</v>
      </c>
      <c r="F67" t="s">
        <v>21</v>
      </c>
      <c r="G67" t="s">
        <v>27</v>
      </c>
      <c r="H67">
        <v>10</v>
      </c>
      <c r="I67">
        <v>92909</v>
      </c>
      <c r="J67" t="s">
        <v>28</v>
      </c>
      <c r="K67" t="s">
        <v>31</v>
      </c>
      <c r="L67" t="s">
        <v>35</v>
      </c>
      <c r="M67">
        <v>3</v>
      </c>
    </row>
    <row r="68" spans="1:13" x14ac:dyDescent="0.3">
      <c r="A68">
        <v>100067</v>
      </c>
      <c r="B68">
        <v>2</v>
      </c>
      <c r="C68" t="str">
        <f t="shared" si="1"/>
        <v>0-18</v>
      </c>
      <c r="D68" t="s">
        <v>12</v>
      </c>
      <c r="E68" t="s">
        <v>14</v>
      </c>
      <c r="F68" t="s">
        <v>23</v>
      </c>
      <c r="G68" t="s">
        <v>26</v>
      </c>
      <c r="H68">
        <v>3</v>
      </c>
      <c r="I68">
        <v>153899</v>
      </c>
      <c r="J68" t="s">
        <v>29</v>
      </c>
      <c r="K68" t="s">
        <v>31</v>
      </c>
      <c r="L68" t="s">
        <v>35</v>
      </c>
      <c r="M68">
        <v>4</v>
      </c>
    </row>
    <row r="69" spans="1:13" x14ac:dyDescent="0.3">
      <c r="A69">
        <v>100068</v>
      </c>
      <c r="B69">
        <v>6</v>
      </c>
      <c r="C69" t="str">
        <f t="shared" si="1"/>
        <v>0-18</v>
      </c>
      <c r="D69" t="s">
        <v>12</v>
      </c>
      <c r="E69" t="s">
        <v>18</v>
      </c>
      <c r="F69" t="s">
        <v>22</v>
      </c>
      <c r="G69" t="s">
        <v>26</v>
      </c>
      <c r="H69">
        <v>13</v>
      </c>
      <c r="I69">
        <v>35040</v>
      </c>
      <c r="J69" t="s">
        <v>29</v>
      </c>
      <c r="K69" t="s">
        <v>31</v>
      </c>
      <c r="L69" t="s">
        <v>33</v>
      </c>
      <c r="M69">
        <v>2</v>
      </c>
    </row>
    <row r="70" spans="1:13" x14ac:dyDescent="0.3">
      <c r="A70">
        <v>100069</v>
      </c>
      <c r="B70">
        <v>54</v>
      </c>
      <c r="C70" t="str">
        <f t="shared" si="1"/>
        <v>41-60</v>
      </c>
      <c r="D70" t="s">
        <v>13</v>
      </c>
      <c r="E70" t="s">
        <v>14</v>
      </c>
      <c r="F70" t="s">
        <v>22</v>
      </c>
      <c r="G70" t="s">
        <v>27</v>
      </c>
      <c r="H70">
        <v>3</v>
      </c>
      <c r="I70">
        <v>62354</v>
      </c>
      <c r="J70" t="s">
        <v>29</v>
      </c>
      <c r="K70" t="s">
        <v>30</v>
      </c>
      <c r="L70" t="s">
        <v>33</v>
      </c>
      <c r="M70">
        <v>1</v>
      </c>
    </row>
    <row r="71" spans="1:13" x14ac:dyDescent="0.3">
      <c r="A71">
        <v>100070</v>
      </c>
      <c r="B71">
        <v>4</v>
      </c>
      <c r="C71" t="str">
        <f t="shared" si="1"/>
        <v>0-18</v>
      </c>
      <c r="D71" t="s">
        <v>13</v>
      </c>
      <c r="E71" t="s">
        <v>14</v>
      </c>
      <c r="F71" t="s">
        <v>21</v>
      </c>
      <c r="G71" t="s">
        <v>25</v>
      </c>
      <c r="H71">
        <v>15</v>
      </c>
      <c r="I71">
        <v>80543</v>
      </c>
      <c r="J71" t="s">
        <v>28</v>
      </c>
      <c r="K71" t="s">
        <v>31</v>
      </c>
      <c r="L71" t="s">
        <v>33</v>
      </c>
      <c r="M71">
        <v>4</v>
      </c>
    </row>
    <row r="72" spans="1:13" x14ac:dyDescent="0.3">
      <c r="A72">
        <v>100071</v>
      </c>
      <c r="B72">
        <v>54</v>
      </c>
      <c r="C72" t="str">
        <f t="shared" si="1"/>
        <v>41-60</v>
      </c>
      <c r="D72" t="s">
        <v>12</v>
      </c>
      <c r="E72" t="s">
        <v>14</v>
      </c>
      <c r="F72" t="s">
        <v>21</v>
      </c>
      <c r="G72" t="s">
        <v>25</v>
      </c>
      <c r="H72">
        <v>16</v>
      </c>
      <c r="I72">
        <v>20157</v>
      </c>
      <c r="J72" t="s">
        <v>29</v>
      </c>
      <c r="K72" t="s">
        <v>30</v>
      </c>
      <c r="L72" t="s">
        <v>32</v>
      </c>
      <c r="M72">
        <v>4</v>
      </c>
    </row>
    <row r="73" spans="1:13" x14ac:dyDescent="0.3">
      <c r="A73">
        <v>100072</v>
      </c>
      <c r="B73">
        <v>63</v>
      </c>
      <c r="C73" t="str">
        <f t="shared" si="1"/>
        <v>60+</v>
      </c>
      <c r="D73" t="s">
        <v>13</v>
      </c>
      <c r="E73" t="s">
        <v>15</v>
      </c>
      <c r="F73" t="s">
        <v>24</v>
      </c>
      <c r="G73" t="s">
        <v>26</v>
      </c>
      <c r="H73">
        <v>13</v>
      </c>
      <c r="I73">
        <v>230765</v>
      </c>
      <c r="J73" t="s">
        <v>28</v>
      </c>
      <c r="K73" t="s">
        <v>8</v>
      </c>
      <c r="L73" t="s">
        <v>34</v>
      </c>
      <c r="M73">
        <v>1</v>
      </c>
    </row>
    <row r="74" spans="1:13" x14ac:dyDescent="0.3">
      <c r="A74">
        <v>100073</v>
      </c>
      <c r="B74">
        <v>18</v>
      </c>
      <c r="C74" t="str">
        <f t="shared" si="1"/>
        <v>0-18</v>
      </c>
      <c r="D74" t="s">
        <v>13</v>
      </c>
      <c r="E74" t="s">
        <v>17</v>
      </c>
      <c r="F74" t="s">
        <v>21</v>
      </c>
      <c r="G74" t="s">
        <v>27</v>
      </c>
      <c r="H74">
        <v>17</v>
      </c>
      <c r="I74">
        <v>37315</v>
      </c>
      <c r="J74" t="s">
        <v>28</v>
      </c>
      <c r="K74" t="s">
        <v>31</v>
      </c>
      <c r="L74" t="s">
        <v>33</v>
      </c>
      <c r="M74">
        <v>3</v>
      </c>
    </row>
    <row r="75" spans="1:13" x14ac:dyDescent="0.3">
      <c r="A75">
        <v>100074</v>
      </c>
      <c r="B75">
        <v>44</v>
      </c>
      <c r="C75" t="str">
        <f t="shared" si="1"/>
        <v>41-60</v>
      </c>
      <c r="D75" t="s">
        <v>13</v>
      </c>
      <c r="E75" t="s">
        <v>14</v>
      </c>
      <c r="F75" t="s">
        <v>24</v>
      </c>
      <c r="G75" t="s">
        <v>26</v>
      </c>
      <c r="H75">
        <v>3</v>
      </c>
      <c r="I75">
        <v>37932</v>
      </c>
      <c r="J75" t="s">
        <v>29</v>
      </c>
      <c r="K75" t="s">
        <v>30</v>
      </c>
      <c r="L75" t="s">
        <v>32</v>
      </c>
      <c r="M75">
        <v>2</v>
      </c>
    </row>
    <row r="76" spans="1:13" x14ac:dyDescent="0.3">
      <c r="A76">
        <v>100075</v>
      </c>
      <c r="B76">
        <v>34</v>
      </c>
      <c r="C76" t="str">
        <f t="shared" si="1"/>
        <v>19-40</v>
      </c>
      <c r="D76" t="s">
        <v>12</v>
      </c>
      <c r="E76" t="s">
        <v>15</v>
      </c>
      <c r="F76" t="s">
        <v>22</v>
      </c>
      <c r="G76" t="s">
        <v>27</v>
      </c>
      <c r="H76">
        <v>11</v>
      </c>
      <c r="I76">
        <v>154236</v>
      </c>
      <c r="J76" t="s">
        <v>28</v>
      </c>
      <c r="K76" t="s">
        <v>8</v>
      </c>
      <c r="L76" t="s">
        <v>32</v>
      </c>
      <c r="M76">
        <v>3</v>
      </c>
    </row>
    <row r="77" spans="1:13" x14ac:dyDescent="0.3">
      <c r="A77">
        <v>100076</v>
      </c>
      <c r="B77">
        <v>74</v>
      </c>
      <c r="C77" t="str">
        <f t="shared" si="1"/>
        <v>60+</v>
      </c>
      <c r="D77" t="s">
        <v>12</v>
      </c>
      <c r="E77" t="s">
        <v>19</v>
      </c>
      <c r="F77" t="s">
        <v>20</v>
      </c>
      <c r="G77" t="s">
        <v>25</v>
      </c>
      <c r="H77">
        <v>19</v>
      </c>
      <c r="I77">
        <v>147486</v>
      </c>
      <c r="J77" t="s">
        <v>29</v>
      </c>
      <c r="K77" t="s">
        <v>8</v>
      </c>
      <c r="L77" t="s">
        <v>34</v>
      </c>
      <c r="M77">
        <v>4</v>
      </c>
    </row>
    <row r="78" spans="1:13" x14ac:dyDescent="0.3">
      <c r="A78">
        <v>100077</v>
      </c>
      <c r="B78">
        <v>62</v>
      </c>
      <c r="C78" t="str">
        <f t="shared" si="1"/>
        <v>60+</v>
      </c>
      <c r="D78" t="s">
        <v>13</v>
      </c>
      <c r="E78" t="s">
        <v>18</v>
      </c>
      <c r="F78" t="s">
        <v>23</v>
      </c>
      <c r="G78" t="s">
        <v>27</v>
      </c>
      <c r="H78">
        <v>11</v>
      </c>
      <c r="I78">
        <v>147399</v>
      </c>
      <c r="J78" t="s">
        <v>28</v>
      </c>
      <c r="K78" t="s">
        <v>8</v>
      </c>
      <c r="L78" t="s">
        <v>34</v>
      </c>
      <c r="M78">
        <v>2</v>
      </c>
    </row>
    <row r="79" spans="1:13" x14ac:dyDescent="0.3">
      <c r="A79">
        <v>100078</v>
      </c>
      <c r="B79">
        <v>14</v>
      </c>
      <c r="C79" t="str">
        <f t="shared" si="1"/>
        <v>0-18</v>
      </c>
      <c r="D79" t="s">
        <v>12</v>
      </c>
      <c r="E79" t="s">
        <v>17</v>
      </c>
      <c r="F79" t="s">
        <v>22</v>
      </c>
      <c r="G79" t="s">
        <v>25</v>
      </c>
      <c r="H79">
        <v>16</v>
      </c>
      <c r="I79">
        <v>115880</v>
      </c>
      <c r="J79" t="s">
        <v>28</v>
      </c>
      <c r="K79" t="s">
        <v>30</v>
      </c>
      <c r="L79" t="s">
        <v>35</v>
      </c>
      <c r="M79">
        <v>5</v>
      </c>
    </row>
    <row r="80" spans="1:13" x14ac:dyDescent="0.3">
      <c r="A80">
        <v>100079</v>
      </c>
      <c r="B80">
        <v>48</v>
      </c>
      <c r="C80" t="str">
        <f t="shared" si="1"/>
        <v>41-60</v>
      </c>
      <c r="D80" t="s">
        <v>13</v>
      </c>
      <c r="E80" t="s">
        <v>18</v>
      </c>
      <c r="F80" t="s">
        <v>21</v>
      </c>
      <c r="G80" t="s">
        <v>27</v>
      </c>
      <c r="H80">
        <v>3</v>
      </c>
      <c r="I80">
        <v>134018</v>
      </c>
      <c r="J80" t="s">
        <v>29</v>
      </c>
      <c r="K80" t="s">
        <v>31</v>
      </c>
      <c r="L80" t="s">
        <v>32</v>
      </c>
      <c r="M80">
        <v>4</v>
      </c>
    </row>
    <row r="81" spans="1:13" x14ac:dyDescent="0.3">
      <c r="A81">
        <v>100080</v>
      </c>
      <c r="B81">
        <v>15</v>
      </c>
      <c r="C81" t="str">
        <f t="shared" si="1"/>
        <v>0-18</v>
      </c>
      <c r="D81" t="s">
        <v>13</v>
      </c>
      <c r="E81" t="s">
        <v>17</v>
      </c>
      <c r="F81" t="s">
        <v>23</v>
      </c>
      <c r="G81" t="s">
        <v>26</v>
      </c>
      <c r="H81">
        <v>6</v>
      </c>
      <c r="I81">
        <v>16693</v>
      </c>
      <c r="J81" t="s">
        <v>29</v>
      </c>
      <c r="K81" t="s">
        <v>31</v>
      </c>
      <c r="L81" t="s">
        <v>33</v>
      </c>
      <c r="M81">
        <v>3</v>
      </c>
    </row>
    <row r="82" spans="1:13" x14ac:dyDescent="0.3">
      <c r="A82">
        <v>100081</v>
      </c>
      <c r="B82">
        <v>72</v>
      </c>
      <c r="C82" t="str">
        <f t="shared" si="1"/>
        <v>60+</v>
      </c>
      <c r="D82" t="s">
        <v>13</v>
      </c>
      <c r="E82" t="s">
        <v>18</v>
      </c>
      <c r="F82" t="s">
        <v>20</v>
      </c>
      <c r="G82" t="s">
        <v>25</v>
      </c>
      <c r="H82">
        <v>14</v>
      </c>
      <c r="I82">
        <v>29241</v>
      </c>
      <c r="J82" t="s">
        <v>29</v>
      </c>
      <c r="K82" t="s">
        <v>30</v>
      </c>
      <c r="L82" t="s">
        <v>34</v>
      </c>
      <c r="M82">
        <v>3</v>
      </c>
    </row>
    <row r="83" spans="1:13" x14ac:dyDescent="0.3">
      <c r="A83">
        <v>100082</v>
      </c>
      <c r="B83">
        <v>78</v>
      </c>
      <c r="C83" t="str">
        <f t="shared" si="1"/>
        <v>60+</v>
      </c>
      <c r="D83" t="s">
        <v>13</v>
      </c>
      <c r="E83" t="s">
        <v>17</v>
      </c>
      <c r="F83" t="s">
        <v>20</v>
      </c>
      <c r="G83" t="s">
        <v>26</v>
      </c>
      <c r="H83">
        <v>18</v>
      </c>
      <c r="I83">
        <v>117194</v>
      </c>
      <c r="J83" t="s">
        <v>28</v>
      </c>
      <c r="K83" t="s">
        <v>31</v>
      </c>
      <c r="L83" t="s">
        <v>32</v>
      </c>
      <c r="M83">
        <v>3</v>
      </c>
    </row>
    <row r="84" spans="1:13" x14ac:dyDescent="0.3">
      <c r="A84">
        <v>100083</v>
      </c>
      <c r="B84">
        <v>87</v>
      </c>
      <c r="C84" t="str">
        <f t="shared" si="1"/>
        <v>60+</v>
      </c>
      <c r="D84" t="s">
        <v>12</v>
      </c>
      <c r="E84" t="s">
        <v>18</v>
      </c>
      <c r="F84" t="s">
        <v>24</v>
      </c>
      <c r="G84" t="s">
        <v>26</v>
      </c>
      <c r="H84">
        <v>17</v>
      </c>
      <c r="I84">
        <v>97790</v>
      </c>
      <c r="J84" t="s">
        <v>28</v>
      </c>
      <c r="K84" t="s">
        <v>30</v>
      </c>
      <c r="L84" t="s">
        <v>33</v>
      </c>
      <c r="M84">
        <v>1</v>
      </c>
    </row>
    <row r="85" spans="1:13" x14ac:dyDescent="0.3">
      <c r="A85">
        <v>100084</v>
      </c>
      <c r="B85">
        <v>62</v>
      </c>
      <c r="C85" t="str">
        <f t="shared" si="1"/>
        <v>60+</v>
      </c>
      <c r="D85" t="s">
        <v>12</v>
      </c>
      <c r="E85" t="s">
        <v>18</v>
      </c>
      <c r="F85" t="s">
        <v>23</v>
      </c>
      <c r="G85" t="s">
        <v>25</v>
      </c>
      <c r="H85">
        <v>4</v>
      </c>
      <c r="I85">
        <v>148612</v>
      </c>
      <c r="J85" t="s">
        <v>29</v>
      </c>
      <c r="K85" t="s">
        <v>31</v>
      </c>
      <c r="L85" t="s">
        <v>32</v>
      </c>
      <c r="M85">
        <v>4</v>
      </c>
    </row>
    <row r="86" spans="1:13" x14ac:dyDescent="0.3">
      <c r="A86">
        <v>100085</v>
      </c>
      <c r="B86">
        <v>40</v>
      </c>
      <c r="C86" t="str">
        <f t="shared" si="1"/>
        <v>19-40</v>
      </c>
      <c r="D86" t="s">
        <v>12</v>
      </c>
      <c r="E86" t="s">
        <v>18</v>
      </c>
      <c r="F86" t="s">
        <v>24</v>
      </c>
      <c r="G86" t="s">
        <v>25</v>
      </c>
      <c r="H86">
        <v>15</v>
      </c>
      <c r="I86">
        <v>74255</v>
      </c>
      <c r="J86" t="s">
        <v>29</v>
      </c>
      <c r="K86" t="s">
        <v>8</v>
      </c>
      <c r="L86" t="s">
        <v>34</v>
      </c>
      <c r="M86">
        <v>2</v>
      </c>
    </row>
    <row r="87" spans="1:13" x14ac:dyDescent="0.3">
      <c r="A87">
        <v>100086</v>
      </c>
      <c r="B87">
        <v>85</v>
      </c>
      <c r="C87" t="str">
        <f t="shared" si="1"/>
        <v>60+</v>
      </c>
      <c r="D87" t="s">
        <v>13</v>
      </c>
      <c r="E87" t="s">
        <v>18</v>
      </c>
      <c r="F87" t="s">
        <v>22</v>
      </c>
      <c r="G87" t="s">
        <v>26</v>
      </c>
      <c r="H87">
        <v>11</v>
      </c>
      <c r="I87">
        <v>197829</v>
      </c>
      <c r="J87" t="s">
        <v>28</v>
      </c>
      <c r="K87" t="s">
        <v>31</v>
      </c>
      <c r="L87" t="s">
        <v>35</v>
      </c>
      <c r="M87">
        <v>3</v>
      </c>
    </row>
    <row r="88" spans="1:13" x14ac:dyDescent="0.3">
      <c r="A88">
        <v>100087</v>
      </c>
      <c r="B88">
        <v>80</v>
      </c>
      <c r="C88" t="str">
        <f t="shared" si="1"/>
        <v>60+</v>
      </c>
      <c r="D88" t="s">
        <v>13</v>
      </c>
      <c r="E88" t="s">
        <v>19</v>
      </c>
      <c r="F88" t="s">
        <v>23</v>
      </c>
      <c r="G88" t="s">
        <v>26</v>
      </c>
      <c r="H88">
        <v>3</v>
      </c>
      <c r="I88">
        <v>174275</v>
      </c>
      <c r="J88" t="s">
        <v>28</v>
      </c>
      <c r="K88" t="s">
        <v>30</v>
      </c>
      <c r="L88" t="s">
        <v>32</v>
      </c>
      <c r="M88">
        <v>3</v>
      </c>
    </row>
    <row r="89" spans="1:13" x14ac:dyDescent="0.3">
      <c r="A89">
        <v>100088</v>
      </c>
      <c r="B89">
        <v>82</v>
      </c>
      <c r="C89" t="str">
        <f t="shared" si="1"/>
        <v>60+</v>
      </c>
      <c r="D89" t="s">
        <v>13</v>
      </c>
      <c r="E89" t="s">
        <v>14</v>
      </c>
      <c r="F89" t="s">
        <v>22</v>
      </c>
      <c r="G89" t="s">
        <v>26</v>
      </c>
      <c r="H89">
        <v>3</v>
      </c>
      <c r="I89">
        <v>158153</v>
      </c>
      <c r="J89" t="s">
        <v>28</v>
      </c>
      <c r="K89" t="s">
        <v>30</v>
      </c>
      <c r="L89" t="s">
        <v>33</v>
      </c>
      <c r="M89">
        <v>1</v>
      </c>
    </row>
    <row r="90" spans="1:13" x14ac:dyDescent="0.3">
      <c r="A90">
        <v>100089</v>
      </c>
      <c r="B90">
        <v>53</v>
      </c>
      <c r="C90" t="str">
        <f t="shared" si="1"/>
        <v>41-60</v>
      </c>
      <c r="D90" t="s">
        <v>12</v>
      </c>
      <c r="E90" t="s">
        <v>16</v>
      </c>
      <c r="F90" t="s">
        <v>24</v>
      </c>
      <c r="G90" t="s">
        <v>26</v>
      </c>
      <c r="H90">
        <v>16</v>
      </c>
      <c r="I90">
        <v>194933</v>
      </c>
      <c r="J90" t="s">
        <v>29</v>
      </c>
      <c r="K90" t="s">
        <v>8</v>
      </c>
      <c r="L90" t="s">
        <v>34</v>
      </c>
      <c r="M90">
        <v>2</v>
      </c>
    </row>
    <row r="91" spans="1:13" x14ac:dyDescent="0.3">
      <c r="A91">
        <v>100090</v>
      </c>
      <c r="B91">
        <v>24</v>
      </c>
      <c r="C91" t="str">
        <f t="shared" si="1"/>
        <v>19-40</v>
      </c>
      <c r="D91" t="s">
        <v>13</v>
      </c>
      <c r="E91" t="s">
        <v>15</v>
      </c>
      <c r="F91" t="s">
        <v>23</v>
      </c>
      <c r="G91" t="s">
        <v>25</v>
      </c>
      <c r="H91">
        <v>5</v>
      </c>
      <c r="I91">
        <v>13350</v>
      </c>
      <c r="J91" t="s">
        <v>28</v>
      </c>
      <c r="K91" t="s">
        <v>30</v>
      </c>
      <c r="L91" t="s">
        <v>35</v>
      </c>
      <c r="M91">
        <v>4</v>
      </c>
    </row>
    <row r="92" spans="1:13" x14ac:dyDescent="0.3">
      <c r="A92">
        <v>100091</v>
      </c>
      <c r="B92">
        <v>26</v>
      </c>
      <c r="C92" t="str">
        <f t="shared" si="1"/>
        <v>19-40</v>
      </c>
      <c r="D92" t="s">
        <v>12</v>
      </c>
      <c r="E92" t="s">
        <v>16</v>
      </c>
      <c r="F92" t="s">
        <v>24</v>
      </c>
      <c r="G92" t="s">
        <v>25</v>
      </c>
      <c r="H92">
        <v>10</v>
      </c>
      <c r="I92">
        <v>188584</v>
      </c>
      <c r="J92" t="s">
        <v>29</v>
      </c>
      <c r="K92" t="s">
        <v>31</v>
      </c>
      <c r="L92" t="s">
        <v>33</v>
      </c>
      <c r="M92">
        <v>5</v>
      </c>
    </row>
    <row r="93" spans="1:13" x14ac:dyDescent="0.3">
      <c r="A93">
        <v>100092</v>
      </c>
      <c r="B93">
        <v>89</v>
      </c>
      <c r="C93" t="str">
        <f t="shared" si="1"/>
        <v>60+</v>
      </c>
      <c r="D93" t="s">
        <v>12</v>
      </c>
      <c r="E93" t="s">
        <v>16</v>
      </c>
      <c r="F93" t="s">
        <v>23</v>
      </c>
      <c r="G93" t="s">
        <v>26</v>
      </c>
      <c r="H93">
        <v>19</v>
      </c>
      <c r="I93">
        <v>58809</v>
      </c>
      <c r="J93" t="s">
        <v>28</v>
      </c>
      <c r="K93" t="s">
        <v>31</v>
      </c>
      <c r="L93" t="s">
        <v>33</v>
      </c>
      <c r="M93">
        <v>1</v>
      </c>
    </row>
    <row r="94" spans="1:13" x14ac:dyDescent="0.3">
      <c r="A94">
        <v>100093</v>
      </c>
      <c r="B94">
        <v>60</v>
      </c>
      <c r="C94" t="str">
        <f t="shared" si="1"/>
        <v>41-60</v>
      </c>
      <c r="D94" t="s">
        <v>12</v>
      </c>
      <c r="E94" t="s">
        <v>17</v>
      </c>
      <c r="F94" t="s">
        <v>24</v>
      </c>
      <c r="G94" t="s">
        <v>27</v>
      </c>
      <c r="H94">
        <v>4</v>
      </c>
      <c r="I94">
        <v>103894</v>
      </c>
      <c r="J94" t="s">
        <v>28</v>
      </c>
      <c r="K94" t="s">
        <v>8</v>
      </c>
      <c r="L94" t="s">
        <v>33</v>
      </c>
      <c r="M94">
        <v>4</v>
      </c>
    </row>
    <row r="95" spans="1:13" x14ac:dyDescent="0.3">
      <c r="A95">
        <v>100094</v>
      </c>
      <c r="B95">
        <v>41</v>
      </c>
      <c r="C95" t="str">
        <f t="shared" si="1"/>
        <v>41-60</v>
      </c>
      <c r="D95" t="s">
        <v>12</v>
      </c>
      <c r="E95" t="s">
        <v>14</v>
      </c>
      <c r="F95" t="s">
        <v>20</v>
      </c>
      <c r="G95" t="s">
        <v>27</v>
      </c>
      <c r="H95">
        <v>19</v>
      </c>
      <c r="I95">
        <v>99557</v>
      </c>
      <c r="J95" t="s">
        <v>29</v>
      </c>
      <c r="K95" t="s">
        <v>30</v>
      </c>
      <c r="L95" t="s">
        <v>32</v>
      </c>
      <c r="M95">
        <v>5</v>
      </c>
    </row>
    <row r="96" spans="1:13" x14ac:dyDescent="0.3">
      <c r="A96">
        <v>100095</v>
      </c>
      <c r="B96">
        <v>29</v>
      </c>
      <c r="C96" t="str">
        <f t="shared" si="1"/>
        <v>19-40</v>
      </c>
      <c r="D96" t="s">
        <v>12</v>
      </c>
      <c r="E96" t="s">
        <v>17</v>
      </c>
      <c r="F96" t="s">
        <v>24</v>
      </c>
      <c r="G96" t="s">
        <v>25</v>
      </c>
      <c r="H96">
        <v>11</v>
      </c>
      <c r="I96">
        <v>175904</v>
      </c>
      <c r="J96" t="s">
        <v>29</v>
      </c>
      <c r="K96" t="s">
        <v>8</v>
      </c>
      <c r="L96" t="s">
        <v>34</v>
      </c>
      <c r="M96">
        <v>3</v>
      </c>
    </row>
    <row r="97" spans="1:13" x14ac:dyDescent="0.3">
      <c r="A97">
        <v>100096</v>
      </c>
      <c r="B97">
        <v>15</v>
      </c>
      <c r="C97" t="str">
        <f t="shared" si="1"/>
        <v>0-18</v>
      </c>
      <c r="D97" t="s">
        <v>12</v>
      </c>
      <c r="E97" t="s">
        <v>14</v>
      </c>
      <c r="F97" t="s">
        <v>20</v>
      </c>
      <c r="G97" t="s">
        <v>26</v>
      </c>
      <c r="H97">
        <v>2</v>
      </c>
      <c r="I97">
        <v>161441</v>
      </c>
      <c r="J97" t="s">
        <v>29</v>
      </c>
      <c r="K97" t="s">
        <v>31</v>
      </c>
      <c r="L97" t="s">
        <v>33</v>
      </c>
      <c r="M97">
        <v>3</v>
      </c>
    </row>
    <row r="98" spans="1:13" x14ac:dyDescent="0.3">
      <c r="A98">
        <v>100097</v>
      </c>
      <c r="B98">
        <v>45</v>
      </c>
      <c r="C98" t="str">
        <f t="shared" si="1"/>
        <v>41-60</v>
      </c>
      <c r="D98" t="s">
        <v>13</v>
      </c>
      <c r="E98" t="s">
        <v>14</v>
      </c>
      <c r="F98" t="s">
        <v>24</v>
      </c>
      <c r="G98" t="s">
        <v>26</v>
      </c>
      <c r="H98">
        <v>10</v>
      </c>
      <c r="I98">
        <v>33728</v>
      </c>
      <c r="J98" t="s">
        <v>28</v>
      </c>
      <c r="K98" t="s">
        <v>8</v>
      </c>
      <c r="L98" t="s">
        <v>32</v>
      </c>
      <c r="M98">
        <v>2</v>
      </c>
    </row>
    <row r="99" spans="1:13" x14ac:dyDescent="0.3">
      <c r="A99">
        <v>100098</v>
      </c>
      <c r="B99">
        <v>65</v>
      </c>
      <c r="C99" t="str">
        <f t="shared" si="1"/>
        <v>60+</v>
      </c>
      <c r="D99" t="s">
        <v>13</v>
      </c>
      <c r="E99" t="s">
        <v>18</v>
      </c>
      <c r="F99" t="s">
        <v>23</v>
      </c>
      <c r="G99" t="s">
        <v>25</v>
      </c>
      <c r="H99">
        <v>11</v>
      </c>
      <c r="I99">
        <v>19576</v>
      </c>
      <c r="J99" t="s">
        <v>28</v>
      </c>
      <c r="K99" t="s">
        <v>30</v>
      </c>
      <c r="L99" t="s">
        <v>34</v>
      </c>
      <c r="M99">
        <v>5</v>
      </c>
    </row>
    <row r="100" spans="1:13" x14ac:dyDescent="0.3">
      <c r="A100">
        <v>100099</v>
      </c>
      <c r="B100">
        <v>89</v>
      </c>
      <c r="C100" t="str">
        <f t="shared" si="1"/>
        <v>60+</v>
      </c>
      <c r="D100" t="s">
        <v>12</v>
      </c>
      <c r="E100" t="s">
        <v>19</v>
      </c>
      <c r="F100" t="s">
        <v>23</v>
      </c>
      <c r="G100" t="s">
        <v>27</v>
      </c>
      <c r="H100">
        <v>16</v>
      </c>
      <c r="I100">
        <v>162073</v>
      </c>
      <c r="J100" t="s">
        <v>28</v>
      </c>
      <c r="K100" t="s">
        <v>8</v>
      </c>
      <c r="L100" t="s">
        <v>34</v>
      </c>
      <c r="M100">
        <v>3</v>
      </c>
    </row>
    <row r="101" spans="1:13" x14ac:dyDescent="0.3">
      <c r="A101">
        <v>100100</v>
      </c>
      <c r="B101">
        <v>71</v>
      </c>
      <c r="C101" t="str">
        <f t="shared" si="1"/>
        <v>60+</v>
      </c>
      <c r="D101" t="s">
        <v>12</v>
      </c>
      <c r="E101" t="s">
        <v>18</v>
      </c>
      <c r="F101" t="s">
        <v>23</v>
      </c>
      <c r="G101" t="s">
        <v>27</v>
      </c>
      <c r="H101">
        <v>19</v>
      </c>
      <c r="I101">
        <v>85384</v>
      </c>
      <c r="J101" t="s">
        <v>29</v>
      </c>
      <c r="K101" t="s">
        <v>30</v>
      </c>
      <c r="L101" t="s">
        <v>32</v>
      </c>
      <c r="M101">
        <v>3</v>
      </c>
    </row>
    <row r="102" spans="1:13" x14ac:dyDescent="0.3">
      <c r="A102">
        <v>100101</v>
      </c>
      <c r="B102">
        <v>9</v>
      </c>
      <c r="C102" t="str">
        <f t="shared" si="1"/>
        <v>0-18</v>
      </c>
      <c r="D102" t="s">
        <v>13</v>
      </c>
      <c r="E102" t="s">
        <v>19</v>
      </c>
      <c r="F102" t="s">
        <v>21</v>
      </c>
      <c r="G102" t="s">
        <v>27</v>
      </c>
      <c r="H102">
        <v>11</v>
      </c>
      <c r="I102">
        <v>2390</v>
      </c>
      <c r="J102" t="s">
        <v>28</v>
      </c>
      <c r="K102" t="s">
        <v>30</v>
      </c>
      <c r="L102" t="s">
        <v>32</v>
      </c>
      <c r="M102">
        <v>2</v>
      </c>
    </row>
    <row r="103" spans="1:13" x14ac:dyDescent="0.3">
      <c r="A103">
        <v>100102</v>
      </c>
      <c r="B103">
        <v>88</v>
      </c>
      <c r="C103" t="str">
        <f t="shared" si="1"/>
        <v>60+</v>
      </c>
      <c r="D103" t="s">
        <v>12</v>
      </c>
      <c r="E103" t="s">
        <v>17</v>
      </c>
      <c r="F103" t="s">
        <v>22</v>
      </c>
      <c r="G103" t="s">
        <v>25</v>
      </c>
      <c r="H103">
        <v>14</v>
      </c>
      <c r="I103">
        <v>220607</v>
      </c>
      <c r="J103" t="s">
        <v>29</v>
      </c>
      <c r="K103" t="s">
        <v>31</v>
      </c>
      <c r="L103" t="s">
        <v>33</v>
      </c>
      <c r="M103">
        <v>4</v>
      </c>
    </row>
    <row r="104" spans="1:13" x14ac:dyDescent="0.3">
      <c r="A104">
        <v>100103</v>
      </c>
      <c r="B104">
        <v>1</v>
      </c>
      <c r="C104" t="str">
        <f t="shared" si="1"/>
        <v>0-18</v>
      </c>
      <c r="D104" t="s">
        <v>12</v>
      </c>
      <c r="E104" t="s">
        <v>19</v>
      </c>
      <c r="F104" t="s">
        <v>23</v>
      </c>
      <c r="G104" t="s">
        <v>27</v>
      </c>
      <c r="H104">
        <v>2</v>
      </c>
      <c r="I104">
        <v>47436</v>
      </c>
      <c r="J104" t="s">
        <v>29</v>
      </c>
      <c r="K104" t="s">
        <v>31</v>
      </c>
      <c r="L104" t="s">
        <v>34</v>
      </c>
      <c r="M104">
        <v>3</v>
      </c>
    </row>
    <row r="105" spans="1:13" x14ac:dyDescent="0.3">
      <c r="A105">
        <v>100104</v>
      </c>
      <c r="B105">
        <v>8</v>
      </c>
      <c r="C105" t="str">
        <f t="shared" si="1"/>
        <v>0-18</v>
      </c>
      <c r="D105" t="s">
        <v>13</v>
      </c>
      <c r="E105" t="s">
        <v>17</v>
      </c>
      <c r="F105" t="s">
        <v>20</v>
      </c>
      <c r="G105" t="s">
        <v>25</v>
      </c>
      <c r="H105">
        <v>5</v>
      </c>
      <c r="I105">
        <v>13569</v>
      </c>
      <c r="J105" t="s">
        <v>29</v>
      </c>
      <c r="K105" t="s">
        <v>31</v>
      </c>
      <c r="L105" t="s">
        <v>35</v>
      </c>
      <c r="M105">
        <v>1</v>
      </c>
    </row>
    <row r="106" spans="1:13" x14ac:dyDescent="0.3">
      <c r="A106">
        <v>100105</v>
      </c>
      <c r="B106">
        <v>88</v>
      </c>
      <c r="C106" t="str">
        <f t="shared" si="1"/>
        <v>60+</v>
      </c>
      <c r="D106" t="s">
        <v>12</v>
      </c>
      <c r="E106" t="s">
        <v>16</v>
      </c>
      <c r="F106" t="s">
        <v>23</v>
      </c>
      <c r="G106" t="s">
        <v>25</v>
      </c>
      <c r="H106">
        <v>5</v>
      </c>
      <c r="I106">
        <v>146101</v>
      </c>
      <c r="J106" t="s">
        <v>28</v>
      </c>
      <c r="K106" t="s">
        <v>30</v>
      </c>
      <c r="L106" t="s">
        <v>32</v>
      </c>
      <c r="M106">
        <v>1</v>
      </c>
    </row>
    <row r="107" spans="1:13" x14ac:dyDescent="0.3">
      <c r="A107">
        <v>100106</v>
      </c>
      <c r="B107">
        <v>63</v>
      </c>
      <c r="C107" t="str">
        <f t="shared" si="1"/>
        <v>60+</v>
      </c>
      <c r="D107" t="s">
        <v>12</v>
      </c>
      <c r="E107" t="s">
        <v>16</v>
      </c>
      <c r="F107" t="s">
        <v>21</v>
      </c>
      <c r="G107" t="s">
        <v>26</v>
      </c>
      <c r="H107">
        <v>19</v>
      </c>
      <c r="I107">
        <v>24490</v>
      </c>
      <c r="J107" t="s">
        <v>28</v>
      </c>
      <c r="K107" t="s">
        <v>8</v>
      </c>
      <c r="L107" t="s">
        <v>34</v>
      </c>
      <c r="M107">
        <v>4</v>
      </c>
    </row>
    <row r="108" spans="1:13" x14ac:dyDescent="0.3">
      <c r="A108">
        <v>100107</v>
      </c>
      <c r="B108">
        <v>11</v>
      </c>
      <c r="C108" t="str">
        <f t="shared" si="1"/>
        <v>0-18</v>
      </c>
      <c r="D108" t="s">
        <v>12</v>
      </c>
      <c r="E108" t="s">
        <v>19</v>
      </c>
      <c r="F108" t="s">
        <v>20</v>
      </c>
      <c r="G108" t="s">
        <v>27</v>
      </c>
      <c r="H108">
        <v>12</v>
      </c>
      <c r="I108">
        <v>47875</v>
      </c>
      <c r="J108" t="s">
        <v>29</v>
      </c>
      <c r="K108" t="s">
        <v>30</v>
      </c>
      <c r="L108" t="s">
        <v>34</v>
      </c>
      <c r="M108">
        <v>5</v>
      </c>
    </row>
    <row r="109" spans="1:13" x14ac:dyDescent="0.3">
      <c r="A109">
        <v>100108</v>
      </c>
      <c r="B109">
        <v>81</v>
      </c>
      <c r="C109" t="str">
        <f t="shared" si="1"/>
        <v>60+</v>
      </c>
      <c r="D109" t="s">
        <v>13</v>
      </c>
      <c r="E109" t="s">
        <v>19</v>
      </c>
      <c r="F109" t="s">
        <v>21</v>
      </c>
      <c r="G109" t="s">
        <v>25</v>
      </c>
      <c r="H109">
        <v>18</v>
      </c>
      <c r="I109">
        <v>233936</v>
      </c>
      <c r="J109" t="s">
        <v>28</v>
      </c>
      <c r="K109" t="s">
        <v>31</v>
      </c>
      <c r="L109" t="s">
        <v>33</v>
      </c>
      <c r="M109">
        <v>2</v>
      </c>
    </row>
    <row r="110" spans="1:13" x14ac:dyDescent="0.3">
      <c r="A110">
        <v>100109</v>
      </c>
      <c r="B110">
        <v>8</v>
      </c>
      <c r="C110" t="str">
        <f t="shared" si="1"/>
        <v>0-18</v>
      </c>
      <c r="D110" t="s">
        <v>13</v>
      </c>
      <c r="E110" t="s">
        <v>17</v>
      </c>
      <c r="F110" t="s">
        <v>20</v>
      </c>
      <c r="G110" t="s">
        <v>27</v>
      </c>
      <c r="H110">
        <v>4</v>
      </c>
      <c r="I110">
        <v>7867</v>
      </c>
      <c r="J110" t="s">
        <v>29</v>
      </c>
      <c r="K110" t="s">
        <v>31</v>
      </c>
      <c r="L110" t="s">
        <v>35</v>
      </c>
      <c r="M110">
        <v>1</v>
      </c>
    </row>
    <row r="111" spans="1:13" x14ac:dyDescent="0.3">
      <c r="A111">
        <v>100110</v>
      </c>
      <c r="B111">
        <v>35</v>
      </c>
      <c r="C111" t="str">
        <f t="shared" si="1"/>
        <v>19-40</v>
      </c>
      <c r="D111" t="s">
        <v>13</v>
      </c>
      <c r="E111" t="s">
        <v>18</v>
      </c>
      <c r="F111" t="s">
        <v>24</v>
      </c>
      <c r="G111" t="s">
        <v>27</v>
      </c>
      <c r="H111">
        <v>17</v>
      </c>
      <c r="I111">
        <v>82820</v>
      </c>
      <c r="J111" t="s">
        <v>29</v>
      </c>
      <c r="K111" t="s">
        <v>8</v>
      </c>
      <c r="L111" t="s">
        <v>33</v>
      </c>
      <c r="M111">
        <v>1</v>
      </c>
    </row>
    <row r="112" spans="1:13" x14ac:dyDescent="0.3">
      <c r="A112">
        <v>100111</v>
      </c>
      <c r="B112">
        <v>35</v>
      </c>
      <c r="C112" t="str">
        <f t="shared" si="1"/>
        <v>19-40</v>
      </c>
      <c r="D112" t="s">
        <v>12</v>
      </c>
      <c r="E112" t="s">
        <v>17</v>
      </c>
      <c r="F112" t="s">
        <v>22</v>
      </c>
      <c r="G112" t="s">
        <v>26</v>
      </c>
      <c r="H112">
        <v>10</v>
      </c>
      <c r="I112">
        <v>101515</v>
      </c>
      <c r="J112" t="s">
        <v>28</v>
      </c>
      <c r="K112" t="s">
        <v>31</v>
      </c>
      <c r="L112" t="s">
        <v>35</v>
      </c>
      <c r="M112">
        <v>4</v>
      </c>
    </row>
    <row r="113" spans="1:13" x14ac:dyDescent="0.3">
      <c r="A113">
        <v>100112</v>
      </c>
      <c r="B113">
        <v>33</v>
      </c>
      <c r="C113" t="str">
        <f t="shared" si="1"/>
        <v>19-40</v>
      </c>
      <c r="D113" t="s">
        <v>12</v>
      </c>
      <c r="E113" t="s">
        <v>18</v>
      </c>
      <c r="F113" t="s">
        <v>22</v>
      </c>
      <c r="G113" t="s">
        <v>27</v>
      </c>
      <c r="H113">
        <v>6</v>
      </c>
      <c r="I113">
        <v>11121</v>
      </c>
      <c r="J113" t="s">
        <v>29</v>
      </c>
      <c r="K113" t="s">
        <v>31</v>
      </c>
      <c r="L113" t="s">
        <v>35</v>
      </c>
      <c r="M113">
        <v>5</v>
      </c>
    </row>
    <row r="114" spans="1:13" x14ac:dyDescent="0.3">
      <c r="A114">
        <v>100113</v>
      </c>
      <c r="B114">
        <v>5</v>
      </c>
      <c r="C114" t="str">
        <f t="shared" si="1"/>
        <v>0-18</v>
      </c>
      <c r="D114" t="s">
        <v>13</v>
      </c>
      <c r="E114" t="s">
        <v>16</v>
      </c>
      <c r="F114" t="s">
        <v>21</v>
      </c>
      <c r="G114" t="s">
        <v>26</v>
      </c>
      <c r="H114">
        <v>14</v>
      </c>
      <c r="I114">
        <v>3539</v>
      </c>
      <c r="J114" t="s">
        <v>29</v>
      </c>
      <c r="K114" t="s">
        <v>31</v>
      </c>
      <c r="L114" t="s">
        <v>32</v>
      </c>
      <c r="M114">
        <v>5</v>
      </c>
    </row>
    <row r="115" spans="1:13" x14ac:dyDescent="0.3">
      <c r="A115">
        <v>100114</v>
      </c>
      <c r="B115">
        <v>41</v>
      </c>
      <c r="C115" t="str">
        <f t="shared" si="1"/>
        <v>41-60</v>
      </c>
      <c r="D115" t="s">
        <v>12</v>
      </c>
      <c r="E115" t="s">
        <v>14</v>
      </c>
      <c r="F115" t="s">
        <v>22</v>
      </c>
      <c r="G115" t="s">
        <v>25</v>
      </c>
      <c r="H115">
        <v>11</v>
      </c>
      <c r="I115">
        <v>224096</v>
      </c>
      <c r="J115" t="s">
        <v>28</v>
      </c>
      <c r="K115" t="s">
        <v>8</v>
      </c>
      <c r="L115" t="s">
        <v>34</v>
      </c>
      <c r="M115">
        <v>4</v>
      </c>
    </row>
    <row r="116" spans="1:13" x14ac:dyDescent="0.3">
      <c r="A116">
        <v>100115</v>
      </c>
      <c r="B116">
        <v>28</v>
      </c>
      <c r="C116" t="str">
        <f t="shared" si="1"/>
        <v>19-40</v>
      </c>
      <c r="D116" t="s">
        <v>12</v>
      </c>
      <c r="E116" t="s">
        <v>19</v>
      </c>
      <c r="F116" t="s">
        <v>21</v>
      </c>
      <c r="G116" t="s">
        <v>27</v>
      </c>
      <c r="H116">
        <v>11</v>
      </c>
      <c r="I116">
        <v>150099</v>
      </c>
      <c r="J116" t="s">
        <v>29</v>
      </c>
      <c r="K116" t="s">
        <v>30</v>
      </c>
      <c r="L116" t="s">
        <v>34</v>
      </c>
      <c r="M116">
        <v>1</v>
      </c>
    </row>
    <row r="117" spans="1:13" x14ac:dyDescent="0.3">
      <c r="A117">
        <v>100116</v>
      </c>
      <c r="B117">
        <v>7</v>
      </c>
      <c r="C117" t="str">
        <f t="shared" si="1"/>
        <v>0-18</v>
      </c>
      <c r="D117" t="s">
        <v>12</v>
      </c>
      <c r="E117" t="s">
        <v>18</v>
      </c>
      <c r="F117" t="s">
        <v>21</v>
      </c>
      <c r="G117" t="s">
        <v>25</v>
      </c>
      <c r="H117">
        <v>18</v>
      </c>
      <c r="I117">
        <v>129402</v>
      </c>
      <c r="J117" t="s">
        <v>29</v>
      </c>
      <c r="K117" t="s">
        <v>31</v>
      </c>
      <c r="L117" t="s">
        <v>34</v>
      </c>
      <c r="M117">
        <v>2</v>
      </c>
    </row>
    <row r="118" spans="1:13" x14ac:dyDescent="0.3">
      <c r="A118">
        <v>100117</v>
      </c>
      <c r="B118">
        <v>73</v>
      </c>
      <c r="C118" t="str">
        <f t="shared" si="1"/>
        <v>60+</v>
      </c>
      <c r="D118" t="s">
        <v>12</v>
      </c>
      <c r="E118" t="s">
        <v>17</v>
      </c>
      <c r="F118" t="s">
        <v>21</v>
      </c>
      <c r="G118" t="s">
        <v>27</v>
      </c>
      <c r="H118">
        <v>18</v>
      </c>
      <c r="I118">
        <v>76229</v>
      </c>
      <c r="J118" t="s">
        <v>29</v>
      </c>
      <c r="K118" t="s">
        <v>8</v>
      </c>
      <c r="L118" t="s">
        <v>35</v>
      </c>
      <c r="M118">
        <v>1</v>
      </c>
    </row>
    <row r="119" spans="1:13" x14ac:dyDescent="0.3">
      <c r="A119">
        <v>100118</v>
      </c>
      <c r="B119">
        <v>72</v>
      </c>
      <c r="C119" t="str">
        <f t="shared" si="1"/>
        <v>60+</v>
      </c>
      <c r="D119" t="s">
        <v>12</v>
      </c>
      <c r="E119" t="s">
        <v>16</v>
      </c>
      <c r="F119" t="s">
        <v>22</v>
      </c>
      <c r="G119" t="s">
        <v>25</v>
      </c>
      <c r="H119">
        <v>11</v>
      </c>
      <c r="I119">
        <v>141993</v>
      </c>
      <c r="J119" t="s">
        <v>29</v>
      </c>
      <c r="K119" t="s">
        <v>31</v>
      </c>
      <c r="L119" t="s">
        <v>34</v>
      </c>
      <c r="M119">
        <v>5</v>
      </c>
    </row>
    <row r="120" spans="1:13" x14ac:dyDescent="0.3">
      <c r="A120">
        <v>100119</v>
      </c>
      <c r="B120">
        <v>12</v>
      </c>
      <c r="C120" t="str">
        <f t="shared" si="1"/>
        <v>0-18</v>
      </c>
      <c r="D120" t="s">
        <v>13</v>
      </c>
      <c r="E120" t="s">
        <v>18</v>
      </c>
      <c r="F120" t="s">
        <v>21</v>
      </c>
      <c r="G120" t="s">
        <v>27</v>
      </c>
      <c r="H120">
        <v>12</v>
      </c>
      <c r="I120">
        <v>52435</v>
      </c>
      <c r="J120" t="s">
        <v>29</v>
      </c>
      <c r="K120" t="s">
        <v>8</v>
      </c>
      <c r="L120" t="s">
        <v>32</v>
      </c>
      <c r="M120">
        <v>1</v>
      </c>
    </row>
    <row r="121" spans="1:13" x14ac:dyDescent="0.3">
      <c r="A121">
        <v>100120</v>
      </c>
      <c r="B121">
        <v>34</v>
      </c>
      <c r="C121" t="str">
        <f t="shared" si="1"/>
        <v>19-40</v>
      </c>
      <c r="D121" t="s">
        <v>12</v>
      </c>
      <c r="E121" t="s">
        <v>17</v>
      </c>
      <c r="F121" t="s">
        <v>22</v>
      </c>
      <c r="G121" t="s">
        <v>27</v>
      </c>
      <c r="H121">
        <v>5</v>
      </c>
      <c r="I121">
        <v>143382</v>
      </c>
      <c r="J121" t="s">
        <v>29</v>
      </c>
      <c r="K121" t="s">
        <v>31</v>
      </c>
      <c r="L121" t="s">
        <v>35</v>
      </c>
      <c r="M121">
        <v>2</v>
      </c>
    </row>
    <row r="122" spans="1:13" x14ac:dyDescent="0.3">
      <c r="A122">
        <v>100121</v>
      </c>
      <c r="B122">
        <v>33</v>
      </c>
      <c r="C122" t="str">
        <f t="shared" si="1"/>
        <v>19-40</v>
      </c>
      <c r="D122" t="s">
        <v>13</v>
      </c>
      <c r="E122" t="s">
        <v>19</v>
      </c>
      <c r="F122" t="s">
        <v>21</v>
      </c>
      <c r="G122" t="s">
        <v>27</v>
      </c>
      <c r="H122">
        <v>9</v>
      </c>
      <c r="I122">
        <v>65965</v>
      </c>
      <c r="J122" t="s">
        <v>29</v>
      </c>
      <c r="K122" t="s">
        <v>8</v>
      </c>
      <c r="L122" t="s">
        <v>35</v>
      </c>
      <c r="M122">
        <v>3</v>
      </c>
    </row>
    <row r="123" spans="1:13" x14ac:dyDescent="0.3">
      <c r="A123">
        <v>100122</v>
      </c>
      <c r="B123">
        <v>48</v>
      </c>
      <c r="C123" t="str">
        <f t="shared" si="1"/>
        <v>41-60</v>
      </c>
      <c r="D123" t="s">
        <v>12</v>
      </c>
      <c r="E123" t="s">
        <v>19</v>
      </c>
      <c r="F123" t="s">
        <v>23</v>
      </c>
      <c r="G123" t="s">
        <v>27</v>
      </c>
      <c r="H123">
        <v>9</v>
      </c>
      <c r="I123">
        <v>113048</v>
      </c>
      <c r="J123" t="s">
        <v>28</v>
      </c>
      <c r="K123" t="s">
        <v>31</v>
      </c>
      <c r="L123" t="s">
        <v>35</v>
      </c>
      <c r="M123">
        <v>1</v>
      </c>
    </row>
    <row r="124" spans="1:13" x14ac:dyDescent="0.3">
      <c r="A124">
        <v>100123</v>
      </c>
      <c r="B124">
        <v>23</v>
      </c>
      <c r="C124" t="str">
        <f t="shared" si="1"/>
        <v>19-40</v>
      </c>
      <c r="D124" t="s">
        <v>13</v>
      </c>
      <c r="E124" t="s">
        <v>15</v>
      </c>
      <c r="F124" t="s">
        <v>21</v>
      </c>
      <c r="G124" t="s">
        <v>27</v>
      </c>
      <c r="H124">
        <v>10</v>
      </c>
      <c r="I124">
        <v>98444</v>
      </c>
      <c r="J124" t="s">
        <v>28</v>
      </c>
      <c r="K124" t="s">
        <v>30</v>
      </c>
      <c r="L124" t="s">
        <v>35</v>
      </c>
      <c r="M124">
        <v>4</v>
      </c>
    </row>
    <row r="125" spans="1:13" x14ac:dyDescent="0.3">
      <c r="A125">
        <v>100124</v>
      </c>
      <c r="B125">
        <v>62</v>
      </c>
      <c r="C125" t="str">
        <f t="shared" si="1"/>
        <v>60+</v>
      </c>
      <c r="D125" t="s">
        <v>12</v>
      </c>
      <c r="E125" t="s">
        <v>14</v>
      </c>
      <c r="F125" t="s">
        <v>20</v>
      </c>
      <c r="G125" t="s">
        <v>27</v>
      </c>
      <c r="H125">
        <v>19</v>
      </c>
      <c r="I125">
        <v>71922</v>
      </c>
      <c r="J125" t="s">
        <v>29</v>
      </c>
      <c r="K125" t="s">
        <v>31</v>
      </c>
      <c r="L125" t="s">
        <v>32</v>
      </c>
      <c r="M125">
        <v>3</v>
      </c>
    </row>
    <row r="126" spans="1:13" x14ac:dyDescent="0.3">
      <c r="A126">
        <v>100125</v>
      </c>
      <c r="B126">
        <v>88</v>
      </c>
      <c r="C126" t="str">
        <f t="shared" si="1"/>
        <v>60+</v>
      </c>
      <c r="D126" t="s">
        <v>13</v>
      </c>
      <c r="E126" t="s">
        <v>15</v>
      </c>
      <c r="F126" t="s">
        <v>21</v>
      </c>
      <c r="G126" t="s">
        <v>27</v>
      </c>
      <c r="H126">
        <v>1</v>
      </c>
      <c r="I126">
        <v>99799</v>
      </c>
      <c r="J126" t="s">
        <v>29</v>
      </c>
      <c r="K126" t="s">
        <v>8</v>
      </c>
      <c r="L126" t="s">
        <v>34</v>
      </c>
      <c r="M126">
        <v>4</v>
      </c>
    </row>
    <row r="127" spans="1:13" x14ac:dyDescent="0.3">
      <c r="A127">
        <v>100126</v>
      </c>
      <c r="B127">
        <v>37</v>
      </c>
      <c r="C127" t="str">
        <f t="shared" si="1"/>
        <v>19-40</v>
      </c>
      <c r="D127" t="s">
        <v>12</v>
      </c>
      <c r="E127" t="s">
        <v>16</v>
      </c>
      <c r="F127" t="s">
        <v>24</v>
      </c>
      <c r="G127" t="s">
        <v>27</v>
      </c>
      <c r="H127">
        <v>7</v>
      </c>
      <c r="I127">
        <v>95948</v>
      </c>
      <c r="J127" t="s">
        <v>28</v>
      </c>
      <c r="K127" t="s">
        <v>31</v>
      </c>
      <c r="L127" t="s">
        <v>32</v>
      </c>
      <c r="M127">
        <v>4</v>
      </c>
    </row>
    <row r="128" spans="1:13" x14ac:dyDescent="0.3">
      <c r="A128">
        <v>100127</v>
      </c>
      <c r="B128">
        <v>44</v>
      </c>
      <c r="C128" t="str">
        <f t="shared" si="1"/>
        <v>41-60</v>
      </c>
      <c r="D128" t="s">
        <v>13</v>
      </c>
      <c r="E128" t="s">
        <v>18</v>
      </c>
      <c r="F128" t="s">
        <v>21</v>
      </c>
      <c r="G128" t="s">
        <v>27</v>
      </c>
      <c r="H128">
        <v>4</v>
      </c>
      <c r="I128">
        <v>215911</v>
      </c>
      <c r="J128" t="s">
        <v>28</v>
      </c>
      <c r="K128" t="s">
        <v>30</v>
      </c>
      <c r="L128" t="s">
        <v>34</v>
      </c>
      <c r="M128">
        <v>4</v>
      </c>
    </row>
    <row r="129" spans="1:13" x14ac:dyDescent="0.3">
      <c r="A129">
        <v>100128</v>
      </c>
      <c r="B129">
        <v>86</v>
      </c>
      <c r="C129" t="str">
        <f t="shared" si="1"/>
        <v>60+</v>
      </c>
      <c r="D129" t="s">
        <v>12</v>
      </c>
      <c r="E129" t="s">
        <v>16</v>
      </c>
      <c r="F129" t="s">
        <v>20</v>
      </c>
      <c r="G129" t="s">
        <v>25</v>
      </c>
      <c r="H129">
        <v>1</v>
      </c>
      <c r="I129">
        <v>145314</v>
      </c>
      <c r="J129" t="s">
        <v>28</v>
      </c>
      <c r="K129" t="s">
        <v>31</v>
      </c>
      <c r="L129" t="s">
        <v>32</v>
      </c>
      <c r="M129">
        <v>1</v>
      </c>
    </row>
    <row r="130" spans="1:13" x14ac:dyDescent="0.3">
      <c r="A130">
        <v>100129</v>
      </c>
      <c r="B130">
        <v>35</v>
      </c>
      <c r="C130" t="str">
        <f t="shared" ref="C130:C193" si="2">IF(B130&lt;=18,"0-18",IF(B130&lt;=40,"19-40",IF(B130&lt;=60,"41-60","60+")))</f>
        <v>19-40</v>
      </c>
      <c r="D130" t="s">
        <v>13</v>
      </c>
      <c r="E130" t="s">
        <v>17</v>
      </c>
      <c r="F130" t="s">
        <v>20</v>
      </c>
      <c r="G130" t="s">
        <v>26</v>
      </c>
      <c r="H130">
        <v>15</v>
      </c>
      <c r="I130">
        <v>245633</v>
      </c>
      <c r="J130" t="s">
        <v>28</v>
      </c>
      <c r="K130" t="s">
        <v>8</v>
      </c>
      <c r="L130" t="s">
        <v>33</v>
      </c>
      <c r="M130">
        <v>5</v>
      </c>
    </row>
    <row r="131" spans="1:13" x14ac:dyDescent="0.3">
      <c r="A131">
        <v>100130</v>
      </c>
      <c r="B131">
        <v>65</v>
      </c>
      <c r="C131" t="str">
        <f t="shared" si="2"/>
        <v>60+</v>
      </c>
      <c r="D131" t="s">
        <v>12</v>
      </c>
      <c r="E131" t="s">
        <v>19</v>
      </c>
      <c r="F131" t="s">
        <v>22</v>
      </c>
      <c r="G131" t="s">
        <v>27</v>
      </c>
      <c r="H131">
        <v>8</v>
      </c>
      <c r="I131">
        <v>10947</v>
      </c>
      <c r="J131" t="s">
        <v>28</v>
      </c>
      <c r="K131" t="s">
        <v>8</v>
      </c>
      <c r="L131" t="s">
        <v>33</v>
      </c>
      <c r="M131">
        <v>3</v>
      </c>
    </row>
    <row r="132" spans="1:13" x14ac:dyDescent="0.3">
      <c r="A132">
        <v>100131</v>
      </c>
      <c r="B132">
        <v>47</v>
      </c>
      <c r="C132" t="str">
        <f t="shared" si="2"/>
        <v>41-60</v>
      </c>
      <c r="D132" t="s">
        <v>13</v>
      </c>
      <c r="E132" t="s">
        <v>15</v>
      </c>
      <c r="F132" t="s">
        <v>23</v>
      </c>
      <c r="G132" t="s">
        <v>26</v>
      </c>
      <c r="H132">
        <v>12</v>
      </c>
      <c r="I132">
        <v>245322</v>
      </c>
      <c r="J132" t="s">
        <v>29</v>
      </c>
      <c r="K132" t="s">
        <v>30</v>
      </c>
      <c r="L132" t="s">
        <v>33</v>
      </c>
      <c r="M132">
        <v>2</v>
      </c>
    </row>
    <row r="133" spans="1:13" x14ac:dyDescent="0.3">
      <c r="A133">
        <v>100132</v>
      </c>
      <c r="B133">
        <v>78</v>
      </c>
      <c r="C133" t="str">
        <f t="shared" si="2"/>
        <v>60+</v>
      </c>
      <c r="D133" t="s">
        <v>13</v>
      </c>
      <c r="E133" t="s">
        <v>15</v>
      </c>
      <c r="F133" t="s">
        <v>21</v>
      </c>
      <c r="G133" t="s">
        <v>27</v>
      </c>
      <c r="H133">
        <v>18</v>
      </c>
      <c r="I133">
        <v>204538</v>
      </c>
      <c r="J133" t="s">
        <v>28</v>
      </c>
      <c r="K133" t="s">
        <v>8</v>
      </c>
      <c r="L133" t="s">
        <v>33</v>
      </c>
      <c r="M133">
        <v>5</v>
      </c>
    </row>
    <row r="134" spans="1:13" x14ac:dyDescent="0.3">
      <c r="A134">
        <v>100133</v>
      </c>
      <c r="B134">
        <v>3</v>
      </c>
      <c r="C134" t="str">
        <f t="shared" si="2"/>
        <v>0-18</v>
      </c>
      <c r="D134" t="s">
        <v>12</v>
      </c>
      <c r="E134" t="s">
        <v>15</v>
      </c>
      <c r="F134" t="s">
        <v>22</v>
      </c>
      <c r="G134" t="s">
        <v>27</v>
      </c>
      <c r="H134">
        <v>15</v>
      </c>
      <c r="I134">
        <v>236778</v>
      </c>
      <c r="J134" t="s">
        <v>28</v>
      </c>
      <c r="K134" t="s">
        <v>31</v>
      </c>
      <c r="L134" t="s">
        <v>35</v>
      </c>
      <c r="M134">
        <v>1</v>
      </c>
    </row>
    <row r="135" spans="1:13" x14ac:dyDescent="0.3">
      <c r="A135">
        <v>100134</v>
      </c>
      <c r="B135">
        <v>1</v>
      </c>
      <c r="C135" t="str">
        <f t="shared" si="2"/>
        <v>0-18</v>
      </c>
      <c r="D135" t="s">
        <v>12</v>
      </c>
      <c r="E135" t="s">
        <v>16</v>
      </c>
      <c r="F135" t="s">
        <v>23</v>
      </c>
      <c r="G135" t="s">
        <v>25</v>
      </c>
      <c r="H135">
        <v>17</v>
      </c>
      <c r="I135">
        <v>194888</v>
      </c>
      <c r="J135" t="s">
        <v>28</v>
      </c>
      <c r="K135" t="s">
        <v>31</v>
      </c>
      <c r="L135" t="s">
        <v>35</v>
      </c>
      <c r="M135">
        <v>4</v>
      </c>
    </row>
    <row r="136" spans="1:13" x14ac:dyDescent="0.3">
      <c r="A136">
        <v>100135</v>
      </c>
      <c r="B136">
        <v>5</v>
      </c>
      <c r="C136" t="str">
        <f t="shared" si="2"/>
        <v>0-18</v>
      </c>
      <c r="D136" t="s">
        <v>13</v>
      </c>
      <c r="E136" t="s">
        <v>19</v>
      </c>
      <c r="F136" t="s">
        <v>21</v>
      </c>
      <c r="G136" t="s">
        <v>25</v>
      </c>
      <c r="H136">
        <v>14</v>
      </c>
      <c r="I136">
        <v>50785</v>
      </c>
      <c r="J136" t="s">
        <v>29</v>
      </c>
      <c r="K136" t="s">
        <v>31</v>
      </c>
      <c r="L136" t="s">
        <v>32</v>
      </c>
      <c r="M136">
        <v>2</v>
      </c>
    </row>
    <row r="137" spans="1:13" x14ac:dyDescent="0.3">
      <c r="A137">
        <v>100136</v>
      </c>
      <c r="B137">
        <v>14</v>
      </c>
      <c r="C137" t="str">
        <f t="shared" si="2"/>
        <v>0-18</v>
      </c>
      <c r="D137" t="s">
        <v>12</v>
      </c>
      <c r="E137" t="s">
        <v>18</v>
      </c>
      <c r="F137" t="s">
        <v>24</v>
      </c>
      <c r="G137" t="s">
        <v>26</v>
      </c>
      <c r="H137">
        <v>14</v>
      </c>
      <c r="I137">
        <v>121963</v>
      </c>
      <c r="J137" t="s">
        <v>29</v>
      </c>
      <c r="K137" t="s">
        <v>8</v>
      </c>
      <c r="L137" t="s">
        <v>32</v>
      </c>
      <c r="M137">
        <v>3</v>
      </c>
    </row>
    <row r="138" spans="1:13" x14ac:dyDescent="0.3">
      <c r="A138">
        <v>100137</v>
      </c>
      <c r="B138">
        <v>27</v>
      </c>
      <c r="C138" t="str">
        <f t="shared" si="2"/>
        <v>19-40</v>
      </c>
      <c r="D138" t="s">
        <v>13</v>
      </c>
      <c r="E138" t="s">
        <v>17</v>
      </c>
      <c r="F138" t="s">
        <v>21</v>
      </c>
      <c r="G138" t="s">
        <v>25</v>
      </c>
      <c r="H138">
        <v>18</v>
      </c>
      <c r="I138">
        <v>2507</v>
      </c>
      <c r="J138" t="s">
        <v>29</v>
      </c>
      <c r="K138" t="s">
        <v>31</v>
      </c>
      <c r="L138" t="s">
        <v>33</v>
      </c>
      <c r="M138">
        <v>5</v>
      </c>
    </row>
    <row r="139" spans="1:13" x14ac:dyDescent="0.3">
      <c r="A139">
        <v>100138</v>
      </c>
      <c r="B139">
        <v>9</v>
      </c>
      <c r="C139" t="str">
        <f t="shared" si="2"/>
        <v>0-18</v>
      </c>
      <c r="D139" t="s">
        <v>13</v>
      </c>
      <c r="E139" t="s">
        <v>18</v>
      </c>
      <c r="F139" t="s">
        <v>20</v>
      </c>
      <c r="G139" t="s">
        <v>25</v>
      </c>
      <c r="H139">
        <v>18</v>
      </c>
      <c r="I139">
        <v>200044</v>
      </c>
      <c r="J139" t="s">
        <v>29</v>
      </c>
      <c r="K139" t="s">
        <v>31</v>
      </c>
      <c r="L139" t="s">
        <v>34</v>
      </c>
      <c r="M139">
        <v>5</v>
      </c>
    </row>
    <row r="140" spans="1:13" x14ac:dyDescent="0.3">
      <c r="A140">
        <v>100139</v>
      </c>
      <c r="B140">
        <v>79</v>
      </c>
      <c r="C140" t="str">
        <f t="shared" si="2"/>
        <v>60+</v>
      </c>
      <c r="D140" t="s">
        <v>13</v>
      </c>
      <c r="E140" t="s">
        <v>16</v>
      </c>
      <c r="F140" t="s">
        <v>20</v>
      </c>
      <c r="G140" t="s">
        <v>26</v>
      </c>
      <c r="H140">
        <v>16</v>
      </c>
      <c r="I140">
        <v>160223</v>
      </c>
      <c r="J140" t="s">
        <v>29</v>
      </c>
      <c r="K140" t="s">
        <v>31</v>
      </c>
      <c r="L140" t="s">
        <v>33</v>
      </c>
      <c r="M140">
        <v>2</v>
      </c>
    </row>
    <row r="141" spans="1:13" x14ac:dyDescent="0.3">
      <c r="A141">
        <v>100140</v>
      </c>
      <c r="B141">
        <v>15</v>
      </c>
      <c r="C141" t="str">
        <f t="shared" si="2"/>
        <v>0-18</v>
      </c>
      <c r="D141" t="s">
        <v>12</v>
      </c>
      <c r="E141" t="s">
        <v>17</v>
      </c>
      <c r="F141" t="s">
        <v>24</v>
      </c>
      <c r="G141" t="s">
        <v>25</v>
      </c>
      <c r="H141">
        <v>1</v>
      </c>
      <c r="I141">
        <v>13618</v>
      </c>
      <c r="J141" t="s">
        <v>29</v>
      </c>
      <c r="K141" t="s">
        <v>30</v>
      </c>
      <c r="L141" t="s">
        <v>32</v>
      </c>
      <c r="M141">
        <v>1</v>
      </c>
    </row>
    <row r="142" spans="1:13" x14ac:dyDescent="0.3">
      <c r="A142">
        <v>100141</v>
      </c>
      <c r="B142">
        <v>42</v>
      </c>
      <c r="C142" t="str">
        <f t="shared" si="2"/>
        <v>41-60</v>
      </c>
      <c r="D142" t="s">
        <v>13</v>
      </c>
      <c r="E142" t="s">
        <v>15</v>
      </c>
      <c r="F142" t="s">
        <v>22</v>
      </c>
      <c r="G142" t="s">
        <v>27</v>
      </c>
      <c r="H142">
        <v>11</v>
      </c>
      <c r="I142">
        <v>76286</v>
      </c>
      <c r="J142" t="s">
        <v>28</v>
      </c>
      <c r="K142" t="s">
        <v>8</v>
      </c>
      <c r="L142" t="s">
        <v>33</v>
      </c>
      <c r="M142">
        <v>3</v>
      </c>
    </row>
    <row r="143" spans="1:13" x14ac:dyDescent="0.3">
      <c r="A143">
        <v>100142</v>
      </c>
      <c r="B143">
        <v>77</v>
      </c>
      <c r="C143" t="str">
        <f t="shared" si="2"/>
        <v>60+</v>
      </c>
      <c r="D143" t="s">
        <v>13</v>
      </c>
      <c r="E143" t="s">
        <v>14</v>
      </c>
      <c r="F143" t="s">
        <v>23</v>
      </c>
      <c r="G143" t="s">
        <v>26</v>
      </c>
      <c r="H143">
        <v>15</v>
      </c>
      <c r="I143">
        <v>18122</v>
      </c>
      <c r="J143" t="s">
        <v>29</v>
      </c>
      <c r="K143" t="s">
        <v>8</v>
      </c>
      <c r="L143" t="s">
        <v>32</v>
      </c>
      <c r="M143">
        <v>2</v>
      </c>
    </row>
    <row r="144" spans="1:13" x14ac:dyDescent="0.3">
      <c r="A144">
        <v>100143</v>
      </c>
      <c r="B144">
        <v>51</v>
      </c>
      <c r="C144" t="str">
        <f t="shared" si="2"/>
        <v>41-60</v>
      </c>
      <c r="D144" t="s">
        <v>12</v>
      </c>
      <c r="E144" t="s">
        <v>16</v>
      </c>
      <c r="F144" t="s">
        <v>21</v>
      </c>
      <c r="G144" t="s">
        <v>26</v>
      </c>
      <c r="H144">
        <v>12</v>
      </c>
      <c r="I144">
        <v>140426</v>
      </c>
      <c r="J144" t="s">
        <v>29</v>
      </c>
      <c r="K144" t="s">
        <v>8</v>
      </c>
      <c r="L144" t="s">
        <v>33</v>
      </c>
      <c r="M144">
        <v>4</v>
      </c>
    </row>
    <row r="145" spans="1:13" x14ac:dyDescent="0.3">
      <c r="A145">
        <v>100144</v>
      </c>
      <c r="B145">
        <v>63</v>
      </c>
      <c r="C145" t="str">
        <f t="shared" si="2"/>
        <v>60+</v>
      </c>
      <c r="D145" t="s">
        <v>12</v>
      </c>
      <c r="E145" t="s">
        <v>16</v>
      </c>
      <c r="F145" t="s">
        <v>20</v>
      </c>
      <c r="G145" t="s">
        <v>27</v>
      </c>
      <c r="H145">
        <v>8</v>
      </c>
      <c r="I145">
        <v>111598</v>
      </c>
      <c r="J145" t="s">
        <v>28</v>
      </c>
      <c r="K145" t="s">
        <v>30</v>
      </c>
      <c r="L145" t="s">
        <v>34</v>
      </c>
      <c r="M145">
        <v>3</v>
      </c>
    </row>
    <row r="146" spans="1:13" x14ac:dyDescent="0.3">
      <c r="A146">
        <v>100145</v>
      </c>
      <c r="B146">
        <v>52</v>
      </c>
      <c r="C146" t="str">
        <f t="shared" si="2"/>
        <v>41-60</v>
      </c>
      <c r="D146" t="s">
        <v>12</v>
      </c>
      <c r="E146" t="s">
        <v>19</v>
      </c>
      <c r="F146" t="s">
        <v>22</v>
      </c>
      <c r="G146" t="s">
        <v>25</v>
      </c>
      <c r="H146">
        <v>6</v>
      </c>
      <c r="I146">
        <v>164051</v>
      </c>
      <c r="J146" t="s">
        <v>29</v>
      </c>
      <c r="K146" t="s">
        <v>8</v>
      </c>
      <c r="L146" t="s">
        <v>33</v>
      </c>
      <c r="M146">
        <v>5</v>
      </c>
    </row>
    <row r="147" spans="1:13" x14ac:dyDescent="0.3">
      <c r="A147">
        <v>100146</v>
      </c>
      <c r="B147">
        <v>4</v>
      </c>
      <c r="C147" t="str">
        <f t="shared" si="2"/>
        <v>0-18</v>
      </c>
      <c r="D147" t="s">
        <v>12</v>
      </c>
      <c r="E147" t="s">
        <v>18</v>
      </c>
      <c r="F147" t="s">
        <v>24</v>
      </c>
      <c r="G147" t="s">
        <v>26</v>
      </c>
      <c r="H147">
        <v>3</v>
      </c>
      <c r="I147">
        <v>88436</v>
      </c>
      <c r="J147" t="s">
        <v>28</v>
      </c>
      <c r="K147" t="s">
        <v>30</v>
      </c>
      <c r="L147" t="s">
        <v>34</v>
      </c>
      <c r="M147">
        <v>2</v>
      </c>
    </row>
    <row r="148" spans="1:13" x14ac:dyDescent="0.3">
      <c r="A148">
        <v>100147</v>
      </c>
      <c r="B148">
        <v>23</v>
      </c>
      <c r="C148" t="str">
        <f t="shared" si="2"/>
        <v>19-40</v>
      </c>
      <c r="D148" t="s">
        <v>13</v>
      </c>
      <c r="E148" t="s">
        <v>16</v>
      </c>
      <c r="F148" t="s">
        <v>20</v>
      </c>
      <c r="G148" t="s">
        <v>26</v>
      </c>
      <c r="H148">
        <v>13</v>
      </c>
      <c r="I148">
        <v>212448</v>
      </c>
      <c r="J148" t="s">
        <v>28</v>
      </c>
      <c r="K148" t="s">
        <v>30</v>
      </c>
      <c r="L148" t="s">
        <v>34</v>
      </c>
      <c r="M148">
        <v>5</v>
      </c>
    </row>
    <row r="149" spans="1:13" x14ac:dyDescent="0.3">
      <c r="A149">
        <v>100148</v>
      </c>
      <c r="B149">
        <v>15</v>
      </c>
      <c r="C149" t="str">
        <f t="shared" si="2"/>
        <v>0-18</v>
      </c>
      <c r="D149" t="s">
        <v>13</v>
      </c>
      <c r="E149" t="s">
        <v>16</v>
      </c>
      <c r="F149" t="s">
        <v>24</v>
      </c>
      <c r="G149" t="s">
        <v>27</v>
      </c>
      <c r="H149">
        <v>13</v>
      </c>
      <c r="I149">
        <v>185846</v>
      </c>
      <c r="J149" t="s">
        <v>29</v>
      </c>
      <c r="K149" t="s">
        <v>8</v>
      </c>
      <c r="L149" t="s">
        <v>32</v>
      </c>
      <c r="M149">
        <v>5</v>
      </c>
    </row>
    <row r="150" spans="1:13" x14ac:dyDescent="0.3">
      <c r="A150">
        <v>100149</v>
      </c>
      <c r="B150">
        <v>43</v>
      </c>
      <c r="C150" t="str">
        <f t="shared" si="2"/>
        <v>41-60</v>
      </c>
      <c r="D150" t="s">
        <v>13</v>
      </c>
      <c r="E150" t="s">
        <v>15</v>
      </c>
      <c r="F150" t="s">
        <v>21</v>
      </c>
      <c r="G150" t="s">
        <v>27</v>
      </c>
      <c r="H150">
        <v>2</v>
      </c>
      <c r="I150">
        <v>235775</v>
      </c>
      <c r="J150" t="s">
        <v>28</v>
      </c>
      <c r="K150" t="s">
        <v>31</v>
      </c>
      <c r="L150" t="s">
        <v>34</v>
      </c>
      <c r="M150">
        <v>5</v>
      </c>
    </row>
    <row r="151" spans="1:13" x14ac:dyDescent="0.3">
      <c r="A151">
        <v>100150</v>
      </c>
      <c r="B151">
        <v>29</v>
      </c>
      <c r="C151" t="str">
        <f t="shared" si="2"/>
        <v>19-40</v>
      </c>
      <c r="D151" t="s">
        <v>13</v>
      </c>
      <c r="E151" t="s">
        <v>15</v>
      </c>
      <c r="F151" t="s">
        <v>23</v>
      </c>
      <c r="G151" t="s">
        <v>25</v>
      </c>
      <c r="H151">
        <v>5</v>
      </c>
      <c r="I151">
        <v>138109</v>
      </c>
      <c r="J151" t="s">
        <v>28</v>
      </c>
      <c r="K151" t="s">
        <v>31</v>
      </c>
      <c r="L151" t="s">
        <v>35</v>
      </c>
      <c r="M151">
        <v>1</v>
      </c>
    </row>
    <row r="152" spans="1:13" x14ac:dyDescent="0.3">
      <c r="A152">
        <v>100151</v>
      </c>
      <c r="B152">
        <v>36</v>
      </c>
      <c r="C152" t="str">
        <f t="shared" si="2"/>
        <v>19-40</v>
      </c>
      <c r="D152" t="s">
        <v>12</v>
      </c>
      <c r="E152" t="s">
        <v>17</v>
      </c>
      <c r="F152" t="s">
        <v>20</v>
      </c>
      <c r="G152" t="s">
        <v>26</v>
      </c>
      <c r="H152">
        <v>17</v>
      </c>
      <c r="I152">
        <v>30633</v>
      </c>
      <c r="J152" t="s">
        <v>28</v>
      </c>
      <c r="K152" t="s">
        <v>8</v>
      </c>
      <c r="L152" t="s">
        <v>35</v>
      </c>
      <c r="M152">
        <v>5</v>
      </c>
    </row>
    <row r="153" spans="1:13" x14ac:dyDescent="0.3">
      <c r="A153">
        <v>100152</v>
      </c>
      <c r="B153">
        <v>13</v>
      </c>
      <c r="C153" t="str">
        <f t="shared" si="2"/>
        <v>0-18</v>
      </c>
      <c r="D153" t="s">
        <v>13</v>
      </c>
      <c r="E153" t="s">
        <v>14</v>
      </c>
      <c r="F153" t="s">
        <v>20</v>
      </c>
      <c r="G153" t="s">
        <v>25</v>
      </c>
      <c r="H153">
        <v>6</v>
      </c>
      <c r="I153">
        <v>26495</v>
      </c>
      <c r="J153" t="s">
        <v>28</v>
      </c>
      <c r="K153" t="s">
        <v>8</v>
      </c>
      <c r="L153" t="s">
        <v>35</v>
      </c>
      <c r="M153">
        <v>4</v>
      </c>
    </row>
    <row r="154" spans="1:13" x14ac:dyDescent="0.3">
      <c r="A154">
        <v>100153</v>
      </c>
      <c r="B154">
        <v>32</v>
      </c>
      <c r="C154" t="str">
        <f t="shared" si="2"/>
        <v>19-40</v>
      </c>
      <c r="D154" t="s">
        <v>13</v>
      </c>
      <c r="E154" t="s">
        <v>19</v>
      </c>
      <c r="F154" t="s">
        <v>21</v>
      </c>
      <c r="G154" t="s">
        <v>25</v>
      </c>
      <c r="H154">
        <v>2</v>
      </c>
      <c r="I154">
        <v>66550</v>
      </c>
      <c r="J154" t="s">
        <v>29</v>
      </c>
      <c r="K154" t="s">
        <v>30</v>
      </c>
      <c r="L154" t="s">
        <v>32</v>
      </c>
      <c r="M154">
        <v>4</v>
      </c>
    </row>
    <row r="155" spans="1:13" x14ac:dyDescent="0.3">
      <c r="A155">
        <v>100154</v>
      </c>
      <c r="B155">
        <v>71</v>
      </c>
      <c r="C155" t="str">
        <f t="shared" si="2"/>
        <v>60+</v>
      </c>
      <c r="D155" t="s">
        <v>12</v>
      </c>
      <c r="E155" t="s">
        <v>14</v>
      </c>
      <c r="F155" t="s">
        <v>22</v>
      </c>
      <c r="G155" t="s">
        <v>27</v>
      </c>
      <c r="H155">
        <v>4</v>
      </c>
      <c r="I155">
        <v>214456</v>
      </c>
      <c r="J155" t="s">
        <v>28</v>
      </c>
      <c r="K155" t="s">
        <v>8</v>
      </c>
      <c r="L155" t="s">
        <v>35</v>
      </c>
      <c r="M155">
        <v>3</v>
      </c>
    </row>
    <row r="156" spans="1:13" x14ac:dyDescent="0.3">
      <c r="A156">
        <v>100155</v>
      </c>
      <c r="B156">
        <v>59</v>
      </c>
      <c r="C156" t="str">
        <f t="shared" si="2"/>
        <v>41-60</v>
      </c>
      <c r="D156" t="s">
        <v>13</v>
      </c>
      <c r="E156" t="s">
        <v>17</v>
      </c>
      <c r="F156" t="s">
        <v>23</v>
      </c>
      <c r="G156" t="s">
        <v>26</v>
      </c>
      <c r="H156">
        <v>11</v>
      </c>
      <c r="I156">
        <v>38483</v>
      </c>
      <c r="J156" t="s">
        <v>29</v>
      </c>
      <c r="K156" t="s">
        <v>30</v>
      </c>
      <c r="L156" t="s">
        <v>32</v>
      </c>
      <c r="M156">
        <v>5</v>
      </c>
    </row>
    <row r="157" spans="1:13" x14ac:dyDescent="0.3">
      <c r="A157">
        <v>100156</v>
      </c>
      <c r="B157">
        <v>86</v>
      </c>
      <c r="C157" t="str">
        <f t="shared" si="2"/>
        <v>60+</v>
      </c>
      <c r="D157" t="s">
        <v>13</v>
      </c>
      <c r="E157" t="s">
        <v>15</v>
      </c>
      <c r="F157" t="s">
        <v>20</v>
      </c>
      <c r="G157" t="s">
        <v>26</v>
      </c>
      <c r="H157">
        <v>8</v>
      </c>
      <c r="I157">
        <v>115181</v>
      </c>
      <c r="J157" t="s">
        <v>28</v>
      </c>
      <c r="K157" t="s">
        <v>8</v>
      </c>
      <c r="L157" t="s">
        <v>32</v>
      </c>
      <c r="M157">
        <v>5</v>
      </c>
    </row>
    <row r="158" spans="1:13" x14ac:dyDescent="0.3">
      <c r="A158">
        <v>100157</v>
      </c>
      <c r="B158">
        <v>28</v>
      </c>
      <c r="C158" t="str">
        <f t="shared" si="2"/>
        <v>19-40</v>
      </c>
      <c r="D158" t="s">
        <v>13</v>
      </c>
      <c r="E158" t="s">
        <v>18</v>
      </c>
      <c r="F158" t="s">
        <v>23</v>
      </c>
      <c r="G158" t="s">
        <v>26</v>
      </c>
      <c r="H158">
        <v>12</v>
      </c>
      <c r="I158">
        <v>206445</v>
      </c>
      <c r="J158" t="s">
        <v>28</v>
      </c>
      <c r="K158" t="s">
        <v>31</v>
      </c>
      <c r="L158" t="s">
        <v>35</v>
      </c>
      <c r="M158">
        <v>2</v>
      </c>
    </row>
    <row r="159" spans="1:13" x14ac:dyDescent="0.3">
      <c r="A159">
        <v>100158</v>
      </c>
      <c r="B159">
        <v>66</v>
      </c>
      <c r="C159" t="str">
        <f t="shared" si="2"/>
        <v>60+</v>
      </c>
      <c r="D159" t="s">
        <v>13</v>
      </c>
      <c r="E159" t="s">
        <v>15</v>
      </c>
      <c r="F159" t="s">
        <v>20</v>
      </c>
      <c r="G159" t="s">
        <v>27</v>
      </c>
      <c r="H159">
        <v>8</v>
      </c>
      <c r="I159">
        <v>36069</v>
      </c>
      <c r="J159" t="s">
        <v>28</v>
      </c>
      <c r="K159" t="s">
        <v>31</v>
      </c>
      <c r="L159" t="s">
        <v>34</v>
      </c>
      <c r="M159">
        <v>1</v>
      </c>
    </row>
    <row r="160" spans="1:13" x14ac:dyDescent="0.3">
      <c r="A160">
        <v>100159</v>
      </c>
      <c r="B160">
        <v>42</v>
      </c>
      <c r="C160" t="str">
        <f t="shared" si="2"/>
        <v>41-60</v>
      </c>
      <c r="D160" t="s">
        <v>13</v>
      </c>
      <c r="E160" t="s">
        <v>19</v>
      </c>
      <c r="F160" t="s">
        <v>23</v>
      </c>
      <c r="G160" t="s">
        <v>27</v>
      </c>
      <c r="H160">
        <v>11</v>
      </c>
      <c r="I160">
        <v>140442</v>
      </c>
      <c r="J160" t="s">
        <v>29</v>
      </c>
      <c r="K160" t="s">
        <v>8</v>
      </c>
      <c r="L160" t="s">
        <v>33</v>
      </c>
      <c r="M160">
        <v>3</v>
      </c>
    </row>
    <row r="161" spans="1:13" x14ac:dyDescent="0.3">
      <c r="A161">
        <v>100160</v>
      </c>
      <c r="B161">
        <v>45</v>
      </c>
      <c r="C161" t="str">
        <f t="shared" si="2"/>
        <v>41-60</v>
      </c>
      <c r="D161" t="s">
        <v>13</v>
      </c>
      <c r="E161" t="s">
        <v>15</v>
      </c>
      <c r="F161" t="s">
        <v>24</v>
      </c>
      <c r="G161" t="s">
        <v>27</v>
      </c>
      <c r="H161">
        <v>8</v>
      </c>
      <c r="I161">
        <v>121873</v>
      </c>
      <c r="J161" t="s">
        <v>29</v>
      </c>
      <c r="K161" t="s">
        <v>30</v>
      </c>
      <c r="L161" t="s">
        <v>32</v>
      </c>
      <c r="M161">
        <v>5</v>
      </c>
    </row>
    <row r="162" spans="1:13" x14ac:dyDescent="0.3">
      <c r="A162">
        <v>100161</v>
      </c>
      <c r="B162">
        <v>62</v>
      </c>
      <c r="C162" t="str">
        <f t="shared" si="2"/>
        <v>60+</v>
      </c>
      <c r="D162" t="s">
        <v>12</v>
      </c>
      <c r="E162" t="s">
        <v>19</v>
      </c>
      <c r="F162" t="s">
        <v>20</v>
      </c>
      <c r="G162" t="s">
        <v>27</v>
      </c>
      <c r="H162">
        <v>8</v>
      </c>
      <c r="I162">
        <v>118843</v>
      </c>
      <c r="J162" t="s">
        <v>29</v>
      </c>
      <c r="K162" t="s">
        <v>31</v>
      </c>
      <c r="L162" t="s">
        <v>35</v>
      </c>
      <c r="M162">
        <v>2</v>
      </c>
    </row>
    <row r="163" spans="1:13" x14ac:dyDescent="0.3">
      <c r="A163">
        <v>100162</v>
      </c>
      <c r="B163">
        <v>57</v>
      </c>
      <c r="C163" t="str">
        <f t="shared" si="2"/>
        <v>41-60</v>
      </c>
      <c r="D163" t="s">
        <v>12</v>
      </c>
      <c r="E163" t="s">
        <v>19</v>
      </c>
      <c r="F163" t="s">
        <v>23</v>
      </c>
      <c r="G163" t="s">
        <v>27</v>
      </c>
      <c r="H163">
        <v>17</v>
      </c>
      <c r="I163">
        <v>73947</v>
      </c>
      <c r="J163" t="s">
        <v>28</v>
      </c>
      <c r="K163" t="s">
        <v>30</v>
      </c>
      <c r="L163" t="s">
        <v>32</v>
      </c>
      <c r="M163">
        <v>1</v>
      </c>
    </row>
    <row r="164" spans="1:13" x14ac:dyDescent="0.3">
      <c r="A164">
        <v>100163</v>
      </c>
      <c r="B164">
        <v>6</v>
      </c>
      <c r="C164" t="str">
        <f t="shared" si="2"/>
        <v>0-18</v>
      </c>
      <c r="D164" t="s">
        <v>13</v>
      </c>
      <c r="E164" t="s">
        <v>19</v>
      </c>
      <c r="F164" t="s">
        <v>22</v>
      </c>
      <c r="G164" t="s">
        <v>26</v>
      </c>
      <c r="H164">
        <v>16</v>
      </c>
      <c r="I164">
        <v>172205</v>
      </c>
      <c r="J164" t="s">
        <v>28</v>
      </c>
      <c r="K164" t="s">
        <v>8</v>
      </c>
      <c r="L164" t="s">
        <v>34</v>
      </c>
      <c r="M164">
        <v>3</v>
      </c>
    </row>
    <row r="165" spans="1:13" x14ac:dyDescent="0.3">
      <c r="A165">
        <v>100164</v>
      </c>
      <c r="B165">
        <v>28</v>
      </c>
      <c r="C165" t="str">
        <f t="shared" si="2"/>
        <v>19-40</v>
      </c>
      <c r="D165" t="s">
        <v>13</v>
      </c>
      <c r="E165" t="s">
        <v>17</v>
      </c>
      <c r="F165" t="s">
        <v>24</v>
      </c>
      <c r="G165" t="s">
        <v>25</v>
      </c>
      <c r="H165">
        <v>14</v>
      </c>
      <c r="I165">
        <v>229107</v>
      </c>
      <c r="J165" t="s">
        <v>28</v>
      </c>
      <c r="K165" t="s">
        <v>8</v>
      </c>
      <c r="L165" t="s">
        <v>34</v>
      </c>
      <c r="M165">
        <v>3</v>
      </c>
    </row>
    <row r="166" spans="1:13" x14ac:dyDescent="0.3">
      <c r="A166">
        <v>100165</v>
      </c>
      <c r="B166">
        <v>28</v>
      </c>
      <c r="C166" t="str">
        <f t="shared" si="2"/>
        <v>19-40</v>
      </c>
      <c r="D166" t="s">
        <v>12</v>
      </c>
      <c r="E166" t="s">
        <v>19</v>
      </c>
      <c r="F166" t="s">
        <v>24</v>
      </c>
      <c r="G166" t="s">
        <v>26</v>
      </c>
      <c r="H166">
        <v>11</v>
      </c>
      <c r="I166">
        <v>97761</v>
      </c>
      <c r="J166" t="s">
        <v>28</v>
      </c>
      <c r="K166" t="s">
        <v>31</v>
      </c>
      <c r="L166" t="s">
        <v>35</v>
      </c>
      <c r="M166">
        <v>5</v>
      </c>
    </row>
    <row r="167" spans="1:13" x14ac:dyDescent="0.3">
      <c r="A167">
        <v>100166</v>
      </c>
      <c r="B167">
        <v>44</v>
      </c>
      <c r="C167" t="str">
        <f t="shared" si="2"/>
        <v>41-60</v>
      </c>
      <c r="D167" t="s">
        <v>13</v>
      </c>
      <c r="E167" t="s">
        <v>19</v>
      </c>
      <c r="F167" t="s">
        <v>22</v>
      </c>
      <c r="G167" t="s">
        <v>25</v>
      </c>
      <c r="H167">
        <v>7</v>
      </c>
      <c r="I167">
        <v>115753</v>
      </c>
      <c r="J167" t="s">
        <v>29</v>
      </c>
      <c r="K167" t="s">
        <v>8</v>
      </c>
      <c r="L167" t="s">
        <v>32</v>
      </c>
      <c r="M167">
        <v>3</v>
      </c>
    </row>
    <row r="168" spans="1:13" x14ac:dyDescent="0.3">
      <c r="A168">
        <v>100167</v>
      </c>
      <c r="B168">
        <v>84</v>
      </c>
      <c r="C168" t="str">
        <f t="shared" si="2"/>
        <v>60+</v>
      </c>
      <c r="D168" t="s">
        <v>13</v>
      </c>
      <c r="E168" t="s">
        <v>18</v>
      </c>
      <c r="F168" t="s">
        <v>23</v>
      </c>
      <c r="G168" t="s">
        <v>27</v>
      </c>
      <c r="H168">
        <v>16</v>
      </c>
      <c r="I168">
        <v>133764</v>
      </c>
      <c r="J168" t="s">
        <v>28</v>
      </c>
      <c r="K168" t="s">
        <v>31</v>
      </c>
      <c r="L168" t="s">
        <v>33</v>
      </c>
      <c r="M168">
        <v>2</v>
      </c>
    </row>
    <row r="169" spans="1:13" x14ac:dyDescent="0.3">
      <c r="A169">
        <v>100168</v>
      </c>
      <c r="B169">
        <v>30</v>
      </c>
      <c r="C169" t="str">
        <f t="shared" si="2"/>
        <v>19-40</v>
      </c>
      <c r="D169" t="s">
        <v>13</v>
      </c>
      <c r="E169" t="s">
        <v>14</v>
      </c>
      <c r="F169" t="s">
        <v>21</v>
      </c>
      <c r="G169" t="s">
        <v>25</v>
      </c>
      <c r="H169">
        <v>13</v>
      </c>
      <c r="I169">
        <v>30926</v>
      </c>
      <c r="J169" t="s">
        <v>29</v>
      </c>
      <c r="K169" t="s">
        <v>30</v>
      </c>
      <c r="L169" t="s">
        <v>33</v>
      </c>
      <c r="M169">
        <v>3</v>
      </c>
    </row>
    <row r="170" spans="1:13" x14ac:dyDescent="0.3">
      <c r="A170">
        <v>100169</v>
      </c>
      <c r="B170">
        <v>62</v>
      </c>
      <c r="C170" t="str">
        <f t="shared" si="2"/>
        <v>60+</v>
      </c>
      <c r="D170" t="s">
        <v>12</v>
      </c>
      <c r="E170" t="s">
        <v>16</v>
      </c>
      <c r="F170" t="s">
        <v>22</v>
      </c>
      <c r="G170" t="s">
        <v>26</v>
      </c>
      <c r="H170">
        <v>15</v>
      </c>
      <c r="I170">
        <v>101782</v>
      </c>
      <c r="J170" t="s">
        <v>28</v>
      </c>
      <c r="K170" t="s">
        <v>31</v>
      </c>
      <c r="L170" t="s">
        <v>32</v>
      </c>
      <c r="M170">
        <v>4</v>
      </c>
    </row>
    <row r="171" spans="1:13" x14ac:dyDescent="0.3">
      <c r="A171">
        <v>100170</v>
      </c>
      <c r="B171">
        <v>75</v>
      </c>
      <c r="C171" t="str">
        <f t="shared" si="2"/>
        <v>60+</v>
      </c>
      <c r="D171" t="s">
        <v>13</v>
      </c>
      <c r="E171" t="s">
        <v>14</v>
      </c>
      <c r="F171" t="s">
        <v>23</v>
      </c>
      <c r="G171" t="s">
        <v>26</v>
      </c>
      <c r="H171">
        <v>16</v>
      </c>
      <c r="I171">
        <v>106700</v>
      </c>
      <c r="J171" t="s">
        <v>29</v>
      </c>
      <c r="K171" t="s">
        <v>31</v>
      </c>
      <c r="L171" t="s">
        <v>32</v>
      </c>
      <c r="M171">
        <v>2</v>
      </c>
    </row>
    <row r="172" spans="1:13" x14ac:dyDescent="0.3">
      <c r="A172">
        <v>100171</v>
      </c>
      <c r="B172">
        <v>89</v>
      </c>
      <c r="C172" t="str">
        <f t="shared" si="2"/>
        <v>60+</v>
      </c>
      <c r="D172" t="s">
        <v>12</v>
      </c>
      <c r="E172" t="s">
        <v>19</v>
      </c>
      <c r="F172" t="s">
        <v>22</v>
      </c>
      <c r="G172" t="s">
        <v>25</v>
      </c>
      <c r="H172">
        <v>9</v>
      </c>
      <c r="I172">
        <v>75984</v>
      </c>
      <c r="J172" t="s">
        <v>29</v>
      </c>
      <c r="K172" t="s">
        <v>30</v>
      </c>
      <c r="L172" t="s">
        <v>32</v>
      </c>
      <c r="M172">
        <v>1</v>
      </c>
    </row>
    <row r="173" spans="1:13" x14ac:dyDescent="0.3">
      <c r="A173">
        <v>100172</v>
      </c>
      <c r="B173">
        <v>62</v>
      </c>
      <c r="C173" t="str">
        <f t="shared" si="2"/>
        <v>60+</v>
      </c>
      <c r="D173" t="s">
        <v>13</v>
      </c>
      <c r="E173" t="s">
        <v>18</v>
      </c>
      <c r="F173" t="s">
        <v>22</v>
      </c>
      <c r="G173" t="s">
        <v>27</v>
      </c>
      <c r="H173">
        <v>3</v>
      </c>
      <c r="I173">
        <v>176462</v>
      </c>
      <c r="J173" t="s">
        <v>28</v>
      </c>
      <c r="K173" t="s">
        <v>31</v>
      </c>
      <c r="L173" t="s">
        <v>35</v>
      </c>
      <c r="M173">
        <v>1</v>
      </c>
    </row>
    <row r="174" spans="1:13" x14ac:dyDescent="0.3">
      <c r="A174">
        <v>100173</v>
      </c>
      <c r="B174">
        <v>1</v>
      </c>
      <c r="C174" t="str">
        <f t="shared" si="2"/>
        <v>0-18</v>
      </c>
      <c r="D174" t="s">
        <v>12</v>
      </c>
      <c r="E174" t="s">
        <v>15</v>
      </c>
      <c r="F174" t="s">
        <v>20</v>
      </c>
      <c r="G174" t="s">
        <v>27</v>
      </c>
      <c r="H174">
        <v>19</v>
      </c>
      <c r="I174">
        <v>51593</v>
      </c>
      <c r="J174" t="s">
        <v>28</v>
      </c>
      <c r="K174" t="s">
        <v>31</v>
      </c>
      <c r="L174" t="s">
        <v>34</v>
      </c>
      <c r="M174">
        <v>5</v>
      </c>
    </row>
    <row r="175" spans="1:13" x14ac:dyDescent="0.3">
      <c r="A175">
        <v>100174</v>
      </c>
      <c r="B175">
        <v>27</v>
      </c>
      <c r="C175" t="str">
        <f t="shared" si="2"/>
        <v>19-40</v>
      </c>
      <c r="D175" t="s">
        <v>12</v>
      </c>
      <c r="E175" t="s">
        <v>18</v>
      </c>
      <c r="F175" t="s">
        <v>23</v>
      </c>
      <c r="G175" t="s">
        <v>26</v>
      </c>
      <c r="H175">
        <v>5</v>
      </c>
      <c r="I175">
        <v>77609</v>
      </c>
      <c r="J175" t="s">
        <v>29</v>
      </c>
      <c r="K175" t="s">
        <v>8</v>
      </c>
      <c r="L175" t="s">
        <v>33</v>
      </c>
      <c r="M175">
        <v>5</v>
      </c>
    </row>
    <row r="176" spans="1:13" x14ac:dyDescent="0.3">
      <c r="A176">
        <v>100175</v>
      </c>
      <c r="B176">
        <v>62</v>
      </c>
      <c r="C176" t="str">
        <f t="shared" si="2"/>
        <v>60+</v>
      </c>
      <c r="D176" t="s">
        <v>13</v>
      </c>
      <c r="E176" t="s">
        <v>19</v>
      </c>
      <c r="F176" t="s">
        <v>21</v>
      </c>
      <c r="G176" t="s">
        <v>25</v>
      </c>
      <c r="H176">
        <v>10</v>
      </c>
      <c r="I176">
        <v>234022</v>
      </c>
      <c r="J176" t="s">
        <v>28</v>
      </c>
      <c r="K176" t="s">
        <v>30</v>
      </c>
      <c r="L176" t="s">
        <v>35</v>
      </c>
      <c r="M176">
        <v>4</v>
      </c>
    </row>
    <row r="177" spans="1:13" x14ac:dyDescent="0.3">
      <c r="A177">
        <v>100176</v>
      </c>
      <c r="B177">
        <v>77</v>
      </c>
      <c r="C177" t="str">
        <f t="shared" si="2"/>
        <v>60+</v>
      </c>
      <c r="D177" t="s">
        <v>12</v>
      </c>
      <c r="E177" t="s">
        <v>18</v>
      </c>
      <c r="F177" t="s">
        <v>20</v>
      </c>
      <c r="G177" t="s">
        <v>27</v>
      </c>
      <c r="H177">
        <v>17</v>
      </c>
      <c r="I177">
        <v>7209</v>
      </c>
      <c r="J177" t="s">
        <v>28</v>
      </c>
      <c r="K177" t="s">
        <v>31</v>
      </c>
      <c r="L177" t="s">
        <v>32</v>
      </c>
      <c r="M177">
        <v>1</v>
      </c>
    </row>
    <row r="178" spans="1:13" x14ac:dyDescent="0.3">
      <c r="A178">
        <v>100177</v>
      </c>
      <c r="B178">
        <v>3</v>
      </c>
      <c r="C178" t="str">
        <f t="shared" si="2"/>
        <v>0-18</v>
      </c>
      <c r="D178" t="s">
        <v>13</v>
      </c>
      <c r="E178" t="s">
        <v>18</v>
      </c>
      <c r="F178" t="s">
        <v>22</v>
      </c>
      <c r="G178" t="s">
        <v>27</v>
      </c>
      <c r="H178">
        <v>15</v>
      </c>
      <c r="I178">
        <v>128700</v>
      </c>
      <c r="J178" t="s">
        <v>29</v>
      </c>
      <c r="K178" t="s">
        <v>30</v>
      </c>
      <c r="L178" t="s">
        <v>32</v>
      </c>
      <c r="M178">
        <v>1</v>
      </c>
    </row>
    <row r="179" spans="1:13" x14ac:dyDescent="0.3">
      <c r="A179">
        <v>100178</v>
      </c>
      <c r="B179">
        <v>70</v>
      </c>
      <c r="C179" t="str">
        <f t="shared" si="2"/>
        <v>60+</v>
      </c>
      <c r="D179" t="s">
        <v>12</v>
      </c>
      <c r="E179" t="s">
        <v>19</v>
      </c>
      <c r="F179" t="s">
        <v>22</v>
      </c>
      <c r="G179" t="s">
        <v>26</v>
      </c>
      <c r="H179">
        <v>8</v>
      </c>
      <c r="I179">
        <v>139605</v>
      </c>
      <c r="J179" t="s">
        <v>29</v>
      </c>
      <c r="K179" t="s">
        <v>30</v>
      </c>
      <c r="L179" t="s">
        <v>34</v>
      </c>
      <c r="M179">
        <v>1</v>
      </c>
    </row>
    <row r="180" spans="1:13" x14ac:dyDescent="0.3">
      <c r="A180">
        <v>100179</v>
      </c>
      <c r="B180">
        <v>72</v>
      </c>
      <c r="C180" t="str">
        <f t="shared" si="2"/>
        <v>60+</v>
      </c>
      <c r="D180" t="s">
        <v>13</v>
      </c>
      <c r="E180" t="s">
        <v>17</v>
      </c>
      <c r="F180" t="s">
        <v>22</v>
      </c>
      <c r="G180" t="s">
        <v>27</v>
      </c>
      <c r="H180">
        <v>15</v>
      </c>
      <c r="I180">
        <v>88597</v>
      </c>
      <c r="J180" t="s">
        <v>29</v>
      </c>
      <c r="K180" t="s">
        <v>31</v>
      </c>
      <c r="L180" t="s">
        <v>32</v>
      </c>
      <c r="M180">
        <v>1</v>
      </c>
    </row>
    <row r="181" spans="1:13" x14ac:dyDescent="0.3">
      <c r="A181">
        <v>100180</v>
      </c>
      <c r="B181">
        <v>27</v>
      </c>
      <c r="C181" t="str">
        <f t="shared" si="2"/>
        <v>19-40</v>
      </c>
      <c r="D181" t="s">
        <v>13</v>
      </c>
      <c r="E181" t="s">
        <v>18</v>
      </c>
      <c r="F181" t="s">
        <v>23</v>
      </c>
      <c r="G181" t="s">
        <v>25</v>
      </c>
      <c r="H181">
        <v>14</v>
      </c>
      <c r="I181">
        <v>9211</v>
      </c>
      <c r="J181" t="s">
        <v>29</v>
      </c>
      <c r="K181" t="s">
        <v>8</v>
      </c>
      <c r="L181" t="s">
        <v>35</v>
      </c>
      <c r="M181">
        <v>3</v>
      </c>
    </row>
    <row r="182" spans="1:13" x14ac:dyDescent="0.3">
      <c r="A182">
        <v>100181</v>
      </c>
      <c r="B182">
        <v>9</v>
      </c>
      <c r="C182" t="str">
        <f t="shared" si="2"/>
        <v>0-18</v>
      </c>
      <c r="D182" t="s">
        <v>12</v>
      </c>
      <c r="E182" t="s">
        <v>16</v>
      </c>
      <c r="F182" t="s">
        <v>23</v>
      </c>
      <c r="G182" t="s">
        <v>26</v>
      </c>
      <c r="H182">
        <v>7</v>
      </c>
      <c r="I182">
        <v>11927</v>
      </c>
      <c r="J182" t="s">
        <v>28</v>
      </c>
      <c r="K182" t="s">
        <v>30</v>
      </c>
      <c r="L182" t="s">
        <v>35</v>
      </c>
      <c r="M182">
        <v>2</v>
      </c>
    </row>
    <row r="183" spans="1:13" x14ac:dyDescent="0.3">
      <c r="A183">
        <v>100182</v>
      </c>
      <c r="B183">
        <v>62</v>
      </c>
      <c r="C183" t="str">
        <f t="shared" si="2"/>
        <v>60+</v>
      </c>
      <c r="D183" t="s">
        <v>13</v>
      </c>
      <c r="E183" t="s">
        <v>16</v>
      </c>
      <c r="F183" t="s">
        <v>20</v>
      </c>
      <c r="G183" t="s">
        <v>26</v>
      </c>
      <c r="H183">
        <v>12</v>
      </c>
      <c r="I183">
        <v>210535</v>
      </c>
      <c r="J183" t="s">
        <v>29</v>
      </c>
      <c r="K183" t="s">
        <v>31</v>
      </c>
      <c r="L183" t="s">
        <v>34</v>
      </c>
      <c r="M183">
        <v>2</v>
      </c>
    </row>
    <row r="184" spans="1:13" x14ac:dyDescent="0.3">
      <c r="A184">
        <v>100183</v>
      </c>
      <c r="B184">
        <v>37</v>
      </c>
      <c r="C184" t="str">
        <f t="shared" si="2"/>
        <v>19-40</v>
      </c>
      <c r="D184" t="s">
        <v>13</v>
      </c>
      <c r="E184" t="s">
        <v>18</v>
      </c>
      <c r="F184" t="s">
        <v>21</v>
      </c>
      <c r="G184" t="s">
        <v>25</v>
      </c>
      <c r="H184">
        <v>17</v>
      </c>
      <c r="I184">
        <v>119333</v>
      </c>
      <c r="J184" t="s">
        <v>29</v>
      </c>
      <c r="K184" t="s">
        <v>30</v>
      </c>
      <c r="L184" t="s">
        <v>35</v>
      </c>
      <c r="M184">
        <v>4</v>
      </c>
    </row>
    <row r="185" spans="1:13" x14ac:dyDescent="0.3">
      <c r="A185">
        <v>100184</v>
      </c>
      <c r="B185">
        <v>51</v>
      </c>
      <c r="C185" t="str">
        <f t="shared" si="2"/>
        <v>41-60</v>
      </c>
      <c r="D185" t="s">
        <v>12</v>
      </c>
      <c r="E185" t="s">
        <v>17</v>
      </c>
      <c r="F185" t="s">
        <v>20</v>
      </c>
      <c r="G185" t="s">
        <v>26</v>
      </c>
      <c r="H185">
        <v>17</v>
      </c>
      <c r="I185">
        <v>157666</v>
      </c>
      <c r="J185" t="s">
        <v>29</v>
      </c>
      <c r="K185" t="s">
        <v>8</v>
      </c>
      <c r="L185" t="s">
        <v>33</v>
      </c>
      <c r="M185">
        <v>3</v>
      </c>
    </row>
    <row r="186" spans="1:13" x14ac:dyDescent="0.3">
      <c r="A186">
        <v>100185</v>
      </c>
      <c r="B186">
        <v>44</v>
      </c>
      <c r="C186" t="str">
        <f t="shared" si="2"/>
        <v>41-60</v>
      </c>
      <c r="D186" t="s">
        <v>13</v>
      </c>
      <c r="E186" t="s">
        <v>15</v>
      </c>
      <c r="F186" t="s">
        <v>24</v>
      </c>
      <c r="G186" t="s">
        <v>27</v>
      </c>
      <c r="H186">
        <v>10</v>
      </c>
      <c r="I186">
        <v>207924</v>
      </c>
      <c r="J186" t="s">
        <v>28</v>
      </c>
      <c r="K186" t="s">
        <v>8</v>
      </c>
      <c r="L186" t="s">
        <v>35</v>
      </c>
      <c r="M186">
        <v>1</v>
      </c>
    </row>
    <row r="187" spans="1:13" x14ac:dyDescent="0.3">
      <c r="A187">
        <v>100186</v>
      </c>
      <c r="B187">
        <v>24</v>
      </c>
      <c r="C187" t="str">
        <f t="shared" si="2"/>
        <v>19-40</v>
      </c>
      <c r="D187" t="s">
        <v>13</v>
      </c>
      <c r="E187" t="s">
        <v>19</v>
      </c>
      <c r="F187" t="s">
        <v>22</v>
      </c>
      <c r="G187" t="s">
        <v>27</v>
      </c>
      <c r="H187">
        <v>19</v>
      </c>
      <c r="I187">
        <v>210785</v>
      </c>
      <c r="J187" t="s">
        <v>29</v>
      </c>
      <c r="K187" t="s">
        <v>8</v>
      </c>
      <c r="L187" t="s">
        <v>35</v>
      </c>
      <c r="M187">
        <v>1</v>
      </c>
    </row>
    <row r="188" spans="1:13" x14ac:dyDescent="0.3">
      <c r="A188">
        <v>100187</v>
      </c>
      <c r="B188">
        <v>79</v>
      </c>
      <c r="C188" t="str">
        <f t="shared" si="2"/>
        <v>60+</v>
      </c>
      <c r="D188" t="s">
        <v>12</v>
      </c>
      <c r="E188" t="s">
        <v>16</v>
      </c>
      <c r="F188" t="s">
        <v>22</v>
      </c>
      <c r="G188" t="s">
        <v>25</v>
      </c>
      <c r="H188">
        <v>14</v>
      </c>
      <c r="I188">
        <v>78382</v>
      </c>
      <c r="J188" t="s">
        <v>28</v>
      </c>
      <c r="K188" t="s">
        <v>31</v>
      </c>
      <c r="L188" t="s">
        <v>35</v>
      </c>
      <c r="M188">
        <v>5</v>
      </c>
    </row>
    <row r="189" spans="1:13" x14ac:dyDescent="0.3">
      <c r="A189">
        <v>100188</v>
      </c>
      <c r="B189">
        <v>59</v>
      </c>
      <c r="C189" t="str">
        <f t="shared" si="2"/>
        <v>41-60</v>
      </c>
      <c r="D189" t="s">
        <v>12</v>
      </c>
      <c r="E189" t="s">
        <v>15</v>
      </c>
      <c r="F189" t="s">
        <v>22</v>
      </c>
      <c r="G189" t="s">
        <v>27</v>
      </c>
      <c r="H189">
        <v>11</v>
      </c>
      <c r="I189">
        <v>141005</v>
      </c>
      <c r="J189" t="s">
        <v>29</v>
      </c>
      <c r="K189" t="s">
        <v>31</v>
      </c>
      <c r="L189" t="s">
        <v>33</v>
      </c>
      <c r="M189">
        <v>5</v>
      </c>
    </row>
    <row r="190" spans="1:13" x14ac:dyDescent="0.3">
      <c r="A190">
        <v>100189</v>
      </c>
      <c r="B190">
        <v>32</v>
      </c>
      <c r="C190" t="str">
        <f t="shared" si="2"/>
        <v>19-40</v>
      </c>
      <c r="D190" t="s">
        <v>13</v>
      </c>
      <c r="E190" t="s">
        <v>18</v>
      </c>
      <c r="F190" t="s">
        <v>20</v>
      </c>
      <c r="G190" t="s">
        <v>25</v>
      </c>
      <c r="H190">
        <v>2</v>
      </c>
      <c r="I190">
        <v>105780</v>
      </c>
      <c r="J190" t="s">
        <v>29</v>
      </c>
      <c r="K190" t="s">
        <v>8</v>
      </c>
      <c r="L190" t="s">
        <v>32</v>
      </c>
      <c r="M190">
        <v>4</v>
      </c>
    </row>
    <row r="191" spans="1:13" x14ac:dyDescent="0.3">
      <c r="A191">
        <v>100190</v>
      </c>
      <c r="B191">
        <v>88</v>
      </c>
      <c r="C191" t="str">
        <f t="shared" si="2"/>
        <v>60+</v>
      </c>
      <c r="D191" t="s">
        <v>13</v>
      </c>
      <c r="E191" t="s">
        <v>15</v>
      </c>
      <c r="F191" t="s">
        <v>20</v>
      </c>
      <c r="G191" t="s">
        <v>25</v>
      </c>
      <c r="H191">
        <v>18</v>
      </c>
      <c r="I191">
        <v>245229</v>
      </c>
      <c r="J191" t="s">
        <v>28</v>
      </c>
      <c r="K191" t="s">
        <v>31</v>
      </c>
      <c r="L191" t="s">
        <v>35</v>
      </c>
      <c r="M191">
        <v>1</v>
      </c>
    </row>
    <row r="192" spans="1:13" x14ac:dyDescent="0.3">
      <c r="A192">
        <v>100191</v>
      </c>
      <c r="B192">
        <v>52</v>
      </c>
      <c r="C192" t="str">
        <f t="shared" si="2"/>
        <v>41-60</v>
      </c>
      <c r="D192" t="s">
        <v>12</v>
      </c>
      <c r="E192" t="s">
        <v>14</v>
      </c>
      <c r="F192" t="s">
        <v>22</v>
      </c>
      <c r="G192" t="s">
        <v>27</v>
      </c>
      <c r="H192">
        <v>7</v>
      </c>
      <c r="I192">
        <v>42696</v>
      </c>
      <c r="J192" t="s">
        <v>29</v>
      </c>
      <c r="K192" t="s">
        <v>8</v>
      </c>
      <c r="L192" t="s">
        <v>34</v>
      </c>
      <c r="M192">
        <v>4</v>
      </c>
    </row>
    <row r="193" spans="1:13" x14ac:dyDescent="0.3">
      <c r="A193">
        <v>100192</v>
      </c>
      <c r="B193">
        <v>62</v>
      </c>
      <c r="C193" t="str">
        <f t="shared" si="2"/>
        <v>60+</v>
      </c>
      <c r="D193" t="s">
        <v>12</v>
      </c>
      <c r="E193" t="s">
        <v>16</v>
      </c>
      <c r="F193" t="s">
        <v>20</v>
      </c>
      <c r="G193" t="s">
        <v>25</v>
      </c>
      <c r="H193">
        <v>12</v>
      </c>
      <c r="I193">
        <v>198521</v>
      </c>
      <c r="J193" t="s">
        <v>29</v>
      </c>
      <c r="K193" t="s">
        <v>31</v>
      </c>
      <c r="L193" t="s">
        <v>33</v>
      </c>
      <c r="M193">
        <v>3</v>
      </c>
    </row>
    <row r="194" spans="1:13" x14ac:dyDescent="0.3">
      <c r="A194">
        <v>100193</v>
      </c>
      <c r="B194">
        <v>58</v>
      </c>
      <c r="C194" t="str">
        <f t="shared" ref="C194:C257" si="3">IF(B194&lt;=18,"0-18",IF(B194&lt;=40,"19-40",IF(B194&lt;=60,"41-60","60+")))</f>
        <v>41-60</v>
      </c>
      <c r="D194" t="s">
        <v>13</v>
      </c>
      <c r="E194" t="s">
        <v>18</v>
      </c>
      <c r="F194" t="s">
        <v>23</v>
      </c>
      <c r="G194" t="s">
        <v>27</v>
      </c>
      <c r="H194">
        <v>2</v>
      </c>
      <c r="I194">
        <v>69616</v>
      </c>
      <c r="J194" t="s">
        <v>28</v>
      </c>
      <c r="K194" t="s">
        <v>8</v>
      </c>
      <c r="L194" t="s">
        <v>34</v>
      </c>
      <c r="M194">
        <v>2</v>
      </c>
    </row>
    <row r="195" spans="1:13" x14ac:dyDescent="0.3">
      <c r="A195">
        <v>100194</v>
      </c>
      <c r="B195">
        <v>52</v>
      </c>
      <c r="C195" t="str">
        <f t="shared" si="3"/>
        <v>41-60</v>
      </c>
      <c r="D195" t="s">
        <v>12</v>
      </c>
      <c r="E195" t="s">
        <v>19</v>
      </c>
      <c r="F195" t="s">
        <v>23</v>
      </c>
      <c r="G195" t="s">
        <v>26</v>
      </c>
      <c r="H195">
        <v>18</v>
      </c>
      <c r="I195">
        <v>139161</v>
      </c>
      <c r="J195" t="s">
        <v>29</v>
      </c>
      <c r="K195" t="s">
        <v>30</v>
      </c>
      <c r="L195" t="s">
        <v>35</v>
      </c>
      <c r="M195">
        <v>1</v>
      </c>
    </row>
    <row r="196" spans="1:13" x14ac:dyDescent="0.3">
      <c r="A196">
        <v>100195</v>
      </c>
      <c r="B196">
        <v>12</v>
      </c>
      <c r="C196" t="str">
        <f t="shared" si="3"/>
        <v>0-18</v>
      </c>
      <c r="D196" t="s">
        <v>13</v>
      </c>
      <c r="E196" t="s">
        <v>17</v>
      </c>
      <c r="F196" t="s">
        <v>20</v>
      </c>
      <c r="G196" t="s">
        <v>26</v>
      </c>
      <c r="H196">
        <v>6</v>
      </c>
      <c r="I196">
        <v>189620</v>
      </c>
      <c r="J196" t="s">
        <v>29</v>
      </c>
      <c r="K196" t="s">
        <v>8</v>
      </c>
      <c r="L196" t="s">
        <v>34</v>
      </c>
      <c r="M196">
        <v>3</v>
      </c>
    </row>
    <row r="197" spans="1:13" x14ac:dyDescent="0.3">
      <c r="A197">
        <v>100196</v>
      </c>
      <c r="B197">
        <v>39</v>
      </c>
      <c r="C197" t="str">
        <f t="shared" si="3"/>
        <v>19-40</v>
      </c>
      <c r="D197" t="s">
        <v>13</v>
      </c>
      <c r="E197" t="s">
        <v>18</v>
      </c>
      <c r="F197" t="s">
        <v>22</v>
      </c>
      <c r="G197" t="s">
        <v>25</v>
      </c>
      <c r="H197">
        <v>10</v>
      </c>
      <c r="I197">
        <v>159195</v>
      </c>
      <c r="J197" t="s">
        <v>29</v>
      </c>
      <c r="K197" t="s">
        <v>8</v>
      </c>
      <c r="L197" t="s">
        <v>35</v>
      </c>
      <c r="M197">
        <v>1</v>
      </c>
    </row>
    <row r="198" spans="1:13" x14ac:dyDescent="0.3">
      <c r="A198">
        <v>100197</v>
      </c>
      <c r="B198">
        <v>2</v>
      </c>
      <c r="C198" t="str">
        <f t="shared" si="3"/>
        <v>0-18</v>
      </c>
      <c r="D198" t="s">
        <v>13</v>
      </c>
      <c r="E198" t="s">
        <v>19</v>
      </c>
      <c r="F198" t="s">
        <v>20</v>
      </c>
      <c r="G198" t="s">
        <v>27</v>
      </c>
      <c r="H198">
        <v>15</v>
      </c>
      <c r="I198">
        <v>140869</v>
      </c>
      <c r="J198" t="s">
        <v>29</v>
      </c>
      <c r="K198" t="s">
        <v>31</v>
      </c>
      <c r="L198" t="s">
        <v>33</v>
      </c>
      <c r="M198">
        <v>5</v>
      </c>
    </row>
    <row r="199" spans="1:13" x14ac:dyDescent="0.3">
      <c r="A199">
        <v>100198</v>
      </c>
      <c r="B199">
        <v>3</v>
      </c>
      <c r="C199" t="str">
        <f t="shared" si="3"/>
        <v>0-18</v>
      </c>
      <c r="D199" t="s">
        <v>13</v>
      </c>
      <c r="E199" t="s">
        <v>17</v>
      </c>
      <c r="F199" t="s">
        <v>20</v>
      </c>
      <c r="G199" t="s">
        <v>27</v>
      </c>
      <c r="H199">
        <v>5</v>
      </c>
      <c r="I199">
        <v>52013</v>
      </c>
      <c r="J199" t="s">
        <v>28</v>
      </c>
      <c r="K199" t="s">
        <v>31</v>
      </c>
      <c r="L199" t="s">
        <v>34</v>
      </c>
      <c r="M199">
        <v>4</v>
      </c>
    </row>
    <row r="200" spans="1:13" x14ac:dyDescent="0.3">
      <c r="A200">
        <v>100199</v>
      </c>
      <c r="B200">
        <v>56</v>
      </c>
      <c r="C200" t="str">
        <f t="shared" si="3"/>
        <v>41-60</v>
      </c>
      <c r="D200" t="s">
        <v>13</v>
      </c>
      <c r="E200" t="s">
        <v>17</v>
      </c>
      <c r="F200" t="s">
        <v>20</v>
      </c>
      <c r="G200" t="s">
        <v>26</v>
      </c>
      <c r="H200">
        <v>3</v>
      </c>
      <c r="I200">
        <v>141418</v>
      </c>
      <c r="J200" t="s">
        <v>29</v>
      </c>
      <c r="K200" t="s">
        <v>31</v>
      </c>
      <c r="L200" t="s">
        <v>34</v>
      </c>
      <c r="M200">
        <v>5</v>
      </c>
    </row>
    <row r="201" spans="1:13" x14ac:dyDescent="0.3">
      <c r="A201">
        <v>100200</v>
      </c>
      <c r="B201">
        <v>81</v>
      </c>
      <c r="C201" t="str">
        <f t="shared" si="3"/>
        <v>60+</v>
      </c>
      <c r="D201" t="s">
        <v>12</v>
      </c>
      <c r="E201" t="s">
        <v>18</v>
      </c>
      <c r="F201" t="s">
        <v>24</v>
      </c>
      <c r="G201" t="s">
        <v>26</v>
      </c>
      <c r="H201">
        <v>5</v>
      </c>
      <c r="I201">
        <v>218486</v>
      </c>
      <c r="J201" t="s">
        <v>28</v>
      </c>
      <c r="K201" t="s">
        <v>31</v>
      </c>
      <c r="L201" t="s">
        <v>35</v>
      </c>
      <c r="M201">
        <v>2</v>
      </c>
    </row>
    <row r="202" spans="1:13" x14ac:dyDescent="0.3">
      <c r="A202">
        <v>100201</v>
      </c>
      <c r="B202">
        <v>59</v>
      </c>
      <c r="C202" t="str">
        <f t="shared" si="3"/>
        <v>41-60</v>
      </c>
      <c r="D202" t="s">
        <v>12</v>
      </c>
      <c r="E202" t="s">
        <v>15</v>
      </c>
      <c r="F202" t="s">
        <v>23</v>
      </c>
      <c r="G202" t="s">
        <v>27</v>
      </c>
      <c r="H202">
        <v>8</v>
      </c>
      <c r="I202">
        <v>166744</v>
      </c>
      <c r="J202" t="s">
        <v>29</v>
      </c>
      <c r="K202" t="s">
        <v>31</v>
      </c>
      <c r="L202" t="s">
        <v>35</v>
      </c>
      <c r="M202">
        <v>5</v>
      </c>
    </row>
    <row r="203" spans="1:13" x14ac:dyDescent="0.3">
      <c r="A203">
        <v>100202</v>
      </c>
      <c r="B203">
        <v>2</v>
      </c>
      <c r="C203" t="str">
        <f t="shared" si="3"/>
        <v>0-18</v>
      </c>
      <c r="D203" t="s">
        <v>12</v>
      </c>
      <c r="E203" t="s">
        <v>15</v>
      </c>
      <c r="F203" t="s">
        <v>21</v>
      </c>
      <c r="G203" t="s">
        <v>25</v>
      </c>
      <c r="H203">
        <v>8</v>
      </c>
      <c r="I203">
        <v>150725</v>
      </c>
      <c r="J203" t="s">
        <v>28</v>
      </c>
      <c r="K203" t="s">
        <v>31</v>
      </c>
      <c r="L203" t="s">
        <v>32</v>
      </c>
      <c r="M203">
        <v>1</v>
      </c>
    </row>
    <row r="204" spans="1:13" x14ac:dyDescent="0.3">
      <c r="A204">
        <v>100203</v>
      </c>
      <c r="B204">
        <v>2</v>
      </c>
      <c r="C204" t="str">
        <f t="shared" si="3"/>
        <v>0-18</v>
      </c>
      <c r="D204" t="s">
        <v>12</v>
      </c>
      <c r="E204" t="s">
        <v>17</v>
      </c>
      <c r="F204" t="s">
        <v>21</v>
      </c>
      <c r="G204" t="s">
        <v>26</v>
      </c>
      <c r="H204">
        <v>8</v>
      </c>
      <c r="I204">
        <v>51556</v>
      </c>
      <c r="J204" t="s">
        <v>29</v>
      </c>
      <c r="K204" t="s">
        <v>30</v>
      </c>
      <c r="L204" t="s">
        <v>35</v>
      </c>
      <c r="M204">
        <v>5</v>
      </c>
    </row>
    <row r="205" spans="1:13" x14ac:dyDescent="0.3">
      <c r="A205">
        <v>100204</v>
      </c>
      <c r="B205">
        <v>54</v>
      </c>
      <c r="C205" t="str">
        <f t="shared" si="3"/>
        <v>41-60</v>
      </c>
      <c r="D205" t="s">
        <v>13</v>
      </c>
      <c r="E205" t="s">
        <v>15</v>
      </c>
      <c r="F205" t="s">
        <v>24</v>
      </c>
      <c r="G205" t="s">
        <v>25</v>
      </c>
      <c r="H205">
        <v>12</v>
      </c>
      <c r="I205">
        <v>125723</v>
      </c>
      <c r="J205" t="s">
        <v>28</v>
      </c>
      <c r="K205" t="s">
        <v>8</v>
      </c>
      <c r="L205" t="s">
        <v>35</v>
      </c>
      <c r="M205">
        <v>1</v>
      </c>
    </row>
    <row r="206" spans="1:13" x14ac:dyDescent="0.3">
      <c r="A206">
        <v>100205</v>
      </c>
      <c r="B206">
        <v>87</v>
      </c>
      <c r="C206" t="str">
        <f t="shared" si="3"/>
        <v>60+</v>
      </c>
      <c r="D206" t="s">
        <v>13</v>
      </c>
      <c r="E206" t="s">
        <v>14</v>
      </c>
      <c r="F206" t="s">
        <v>20</v>
      </c>
      <c r="G206" t="s">
        <v>25</v>
      </c>
      <c r="H206">
        <v>8</v>
      </c>
      <c r="I206">
        <v>241350</v>
      </c>
      <c r="J206" t="s">
        <v>29</v>
      </c>
      <c r="K206" t="s">
        <v>8</v>
      </c>
      <c r="L206" t="s">
        <v>32</v>
      </c>
      <c r="M206">
        <v>2</v>
      </c>
    </row>
    <row r="207" spans="1:13" x14ac:dyDescent="0.3">
      <c r="A207">
        <v>100206</v>
      </c>
      <c r="B207">
        <v>1</v>
      </c>
      <c r="C207" t="str">
        <f t="shared" si="3"/>
        <v>0-18</v>
      </c>
      <c r="D207" t="s">
        <v>13</v>
      </c>
      <c r="E207" t="s">
        <v>17</v>
      </c>
      <c r="F207" t="s">
        <v>24</v>
      </c>
      <c r="G207" t="s">
        <v>26</v>
      </c>
      <c r="H207">
        <v>11</v>
      </c>
      <c r="I207">
        <v>28140</v>
      </c>
      <c r="J207" t="s">
        <v>28</v>
      </c>
      <c r="K207" t="s">
        <v>8</v>
      </c>
      <c r="L207" t="s">
        <v>35</v>
      </c>
      <c r="M207">
        <v>5</v>
      </c>
    </row>
    <row r="208" spans="1:13" x14ac:dyDescent="0.3">
      <c r="A208">
        <v>100207</v>
      </c>
      <c r="B208">
        <v>19</v>
      </c>
      <c r="C208" t="str">
        <f t="shared" si="3"/>
        <v>19-40</v>
      </c>
      <c r="D208" t="s">
        <v>13</v>
      </c>
      <c r="E208" t="s">
        <v>17</v>
      </c>
      <c r="F208" t="s">
        <v>24</v>
      </c>
      <c r="G208" t="s">
        <v>25</v>
      </c>
      <c r="H208">
        <v>14</v>
      </c>
      <c r="I208">
        <v>3184</v>
      </c>
      <c r="J208" t="s">
        <v>28</v>
      </c>
      <c r="K208" t="s">
        <v>30</v>
      </c>
      <c r="L208" t="s">
        <v>35</v>
      </c>
      <c r="M208">
        <v>4</v>
      </c>
    </row>
    <row r="209" spans="1:13" x14ac:dyDescent="0.3">
      <c r="A209">
        <v>100208</v>
      </c>
      <c r="B209">
        <v>2</v>
      </c>
      <c r="C209" t="str">
        <f t="shared" si="3"/>
        <v>0-18</v>
      </c>
      <c r="D209" t="s">
        <v>12</v>
      </c>
      <c r="E209" t="s">
        <v>19</v>
      </c>
      <c r="F209" t="s">
        <v>22</v>
      </c>
      <c r="G209" t="s">
        <v>25</v>
      </c>
      <c r="H209">
        <v>8</v>
      </c>
      <c r="I209">
        <v>167565</v>
      </c>
      <c r="J209" t="s">
        <v>29</v>
      </c>
      <c r="K209" t="s">
        <v>8</v>
      </c>
      <c r="L209" t="s">
        <v>32</v>
      </c>
      <c r="M209">
        <v>4</v>
      </c>
    </row>
    <row r="210" spans="1:13" x14ac:dyDescent="0.3">
      <c r="A210">
        <v>100209</v>
      </c>
      <c r="B210">
        <v>53</v>
      </c>
      <c r="C210" t="str">
        <f t="shared" si="3"/>
        <v>41-60</v>
      </c>
      <c r="D210" t="s">
        <v>13</v>
      </c>
      <c r="E210" t="s">
        <v>15</v>
      </c>
      <c r="F210" t="s">
        <v>23</v>
      </c>
      <c r="G210" t="s">
        <v>27</v>
      </c>
      <c r="H210">
        <v>10</v>
      </c>
      <c r="I210">
        <v>177220</v>
      </c>
      <c r="J210" t="s">
        <v>28</v>
      </c>
      <c r="K210" t="s">
        <v>30</v>
      </c>
      <c r="L210" t="s">
        <v>33</v>
      </c>
      <c r="M210">
        <v>4</v>
      </c>
    </row>
    <row r="211" spans="1:13" x14ac:dyDescent="0.3">
      <c r="A211">
        <v>100210</v>
      </c>
      <c r="B211">
        <v>44</v>
      </c>
      <c r="C211" t="str">
        <f t="shared" si="3"/>
        <v>41-60</v>
      </c>
      <c r="D211" t="s">
        <v>13</v>
      </c>
      <c r="E211" t="s">
        <v>17</v>
      </c>
      <c r="F211" t="s">
        <v>21</v>
      </c>
      <c r="G211" t="s">
        <v>25</v>
      </c>
      <c r="H211">
        <v>7</v>
      </c>
      <c r="I211">
        <v>157918</v>
      </c>
      <c r="J211" t="s">
        <v>29</v>
      </c>
      <c r="K211" t="s">
        <v>30</v>
      </c>
      <c r="L211" t="s">
        <v>33</v>
      </c>
      <c r="M211">
        <v>5</v>
      </c>
    </row>
    <row r="212" spans="1:13" x14ac:dyDescent="0.3">
      <c r="A212">
        <v>100211</v>
      </c>
      <c r="B212">
        <v>32</v>
      </c>
      <c r="C212" t="str">
        <f t="shared" si="3"/>
        <v>19-40</v>
      </c>
      <c r="D212" t="s">
        <v>12</v>
      </c>
      <c r="E212" t="s">
        <v>14</v>
      </c>
      <c r="F212" t="s">
        <v>20</v>
      </c>
      <c r="G212" t="s">
        <v>27</v>
      </c>
      <c r="H212">
        <v>17</v>
      </c>
      <c r="I212">
        <v>113361</v>
      </c>
      <c r="J212" t="s">
        <v>29</v>
      </c>
      <c r="K212" t="s">
        <v>30</v>
      </c>
      <c r="L212" t="s">
        <v>35</v>
      </c>
      <c r="M212">
        <v>5</v>
      </c>
    </row>
    <row r="213" spans="1:13" x14ac:dyDescent="0.3">
      <c r="A213">
        <v>100212</v>
      </c>
      <c r="B213">
        <v>70</v>
      </c>
      <c r="C213" t="str">
        <f t="shared" si="3"/>
        <v>60+</v>
      </c>
      <c r="D213" t="s">
        <v>12</v>
      </c>
      <c r="E213" t="s">
        <v>19</v>
      </c>
      <c r="F213" t="s">
        <v>21</v>
      </c>
      <c r="G213" t="s">
        <v>26</v>
      </c>
      <c r="H213">
        <v>4</v>
      </c>
      <c r="I213">
        <v>155267</v>
      </c>
      <c r="J213" t="s">
        <v>29</v>
      </c>
      <c r="K213" t="s">
        <v>8</v>
      </c>
      <c r="L213" t="s">
        <v>35</v>
      </c>
      <c r="M213">
        <v>5</v>
      </c>
    </row>
    <row r="214" spans="1:13" x14ac:dyDescent="0.3">
      <c r="A214">
        <v>100213</v>
      </c>
      <c r="B214">
        <v>32</v>
      </c>
      <c r="C214" t="str">
        <f t="shared" si="3"/>
        <v>19-40</v>
      </c>
      <c r="D214" t="s">
        <v>12</v>
      </c>
      <c r="E214" t="s">
        <v>18</v>
      </c>
      <c r="F214" t="s">
        <v>21</v>
      </c>
      <c r="G214" t="s">
        <v>26</v>
      </c>
      <c r="H214">
        <v>13</v>
      </c>
      <c r="I214">
        <v>7606</v>
      </c>
      <c r="J214" t="s">
        <v>29</v>
      </c>
      <c r="K214" t="s">
        <v>30</v>
      </c>
      <c r="L214" t="s">
        <v>32</v>
      </c>
      <c r="M214">
        <v>1</v>
      </c>
    </row>
    <row r="215" spans="1:13" x14ac:dyDescent="0.3">
      <c r="A215">
        <v>100214</v>
      </c>
      <c r="B215">
        <v>68</v>
      </c>
      <c r="C215" t="str">
        <f t="shared" si="3"/>
        <v>60+</v>
      </c>
      <c r="D215" t="s">
        <v>12</v>
      </c>
      <c r="E215" t="s">
        <v>17</v>
      </c>
      <c r="F215" t="s">
        <v>23</v>
      </c>
      <c r="G215" t="s">
        <v>27</v>
      </c>
      <c r="H215">
        <v>4</v>
      </c>
      <c r="I215">
        <v>137028</v>
      </c>
      <c r="J215" t="s">
        <v>29</v>
      </c>
      <c r="K215" t="s">
        <v>8</v>
      </c>
      <c r="L215" t="s">
        <v>32</v>
      </c>
      <c r="M215">
        <v>2</v>
      </c>
    </row>
    <row r="216" spans="1:13" x14ac:dyDescent="0.3">
      <c r="A216">
        <v>100215</v>
      </c>
      <c r="B216">
        <v>55</v>
      </c>
      <c r="C216" t="str">
        <f t="shared" si="3"/>
        <v>41-60</v>
      </c>
      <c r="D216" t="s">
        <v>13</v>
      </c>
      <c r="E216" t="s">
        <v>14</v>
      </c>
      <c r="F216" t="s">
        <v>21</v>
      </c>
      <c r="G216" t="s">
        <v>26</v>
      </c>
      <c r="H216">
        <v>5</v>
      </c>
      <c r="I216">
        <v>18555</v>
      </c>
      <c r="J216" t="s">
        <v>28</v>
      </c>
      <c r="K216" t="s">
        <v>8</v>
      </c>
      <c r="L216" t="s">
        <v>33</v>
      </c>
      <c r="M216">
        <v>4</v>
      </c>
    </row>
    <row r="217" spans="1:13" x14ac:dyDescent="0.3">
      <c r="A217">
        <v>100216</v>
      </c>
      <c r="B217">
        <v>75</v>
      </c>
      <c r="C217" t="str">
        <f t="shared" si="3"/>
        <v>60+</v>
      </c>
      <c r="D217" t="s">
        <v>13</v>
      </c>
      <c r="E217" t="s">
        <v>16</v>
      </c>
      <c r="F217" t="s">
        <v>21</v>
      </c>
      <c r="G217" t="s">
        <v>25</v>
      </c>
      <c r="H217">
        <v>4</v>
      </c>
      <c r="I217">
        <v>92385</v>
      </c>
      <c r="J217" t="s">
        <v>29</v>
      </c>
      <c r="K217" t="s">
        <v>31</v>
      </c>
      <c r="L217" t="s">
        <v>34</v>
      </c>
      <c r="M217">
        <v>1</v>
      </c>
    </row>
    <row r="218" spans="1:13" x14ac:dyDescent="0.3">
      <c r="A218">
        <v>100217</v>
      </c>
      <c r="B218">
        <v>56</v>
      </c>
      <c r="C218" t="str">
        <f t="shared" si="3"/>
        <v>41-60</v>
      </c>
      <c r="D218" t="s">
        <v>12</v>
      </c>
      <c r="E218" t="s">
        <v>14</v>
      </c>
      <c r="F218" t="s">
        <v>24</v>
      </c>
      <c r="G218" t="s">
        <v>25</v>
      </c>
      <c r="H218">
        <v>18</v>
      </c>
      <c r="I218">
        <v>151762</v>
      </c>
      <c r="J218" t="s">
        <v>29</v>
      </c>
      <c r="K218" t="s">
        <v>31</v>
      </c>
      <c r="L218" t="s">
        <v>35</v>
      </c>
      <c r="M218">
        <v>4</v>
      </c>
    </row>
    <row r="219" spans="1:13" x14ac:dyDescent="0.3">
      <c r="A219">
        <v>100218</v>
      </c>
      <c r="B219">
        <v>17</v>
      </c>
      <c r="C219" t="str">
        <f t="shared" si="3"/>
        <v>0-18</v>
      </c>
      <c r="D219" t="s">
        <v>13</v>
      </c>
      <c r="E219" t="s">
        <v>14</v>
      </c>
      <c r="F219" t="s">
        <v>23</v>
      </c>
      <c r="G219" t="s">
        <v>25</v>
      </c>
      <c r="H219">
        <v>6</v>
      </c>
      <c r="I219">
        <v>60502</v>
      </c>
      <c r="J219" t="s">
        <v>29</v>
      </c>
      <c r="K219" t="s">
        <v>30</v>
      </c>
      <c r="L219" t="s">
        <v>34</v>
      </c>
      <c r="M219">
        <v>1</v>
      </c>
    </row>
    <row r="220" spans="1:13" x14ac:dyDescent="0.3">
      <c r="A220">
        <v>100219</v>
      </c>
      <c r="B220">
        <v>38</v>
      </c>
      <c r="C220" t="str">
        <f t="shared" si="3"/>
        <v>19-40</v>
      </c>
      <c r="D220" t="s">
        <v>13</v>
      </c>
      <c r="E220" t="s">
        <v>19</v>
      </c>
      <c r="F220" t="s">
        <v>22</v>
      </c>
      <c r="G220" t="s">
        <v>26</v>
      </c>
      <c r="H220">
        <v>2</v>
      </c>
      <c r="I220">
        <v>181921</v>
      </c>
      <c r="J220" t="s">
        <v>29</v>
      </c>
      <c r="K220" t="s">
        <v>30</v>
      </c>
      <c r="L220" t="s">
        <v>34</v>
      </c>
      <c r="M220">
        <v>5</v>
      </c>
    </row>
    <row r="221" spans="1:13" x14ac:dyDescent="0.3">
      <c r="A221">
        <v>100220</v>
      </c>
      <c r="B221">
        <v>24</v>
      </c>
      <c r="C221" t="str">
        <f t="shared" si="3"/>
        <v>19-40</v>
      </c>
      <c r="D221" t="s">
        <v>13</v>
      </c>
      <c r="E221" t="s">
        <v>18</v>
      </c>
      <c r="F221" t="s">
        <v>20</v>
      </c>
      <c r="G221" t="s">
        <v>25</v>
      </c>
      <c r="H221">
        <v>11</v>
      </c>
      <c r="I221">
        <v>159419</v>
      </c>
      <c r="J221" t="s">
        <v>29</v>
      </c>
      <c r="K221" t="s">
        <v>8</v>
      </c>
      <c r="L221" t="s">
        <v>32</v>
      </c>
      <c r="M221">
        <v>4</v>
      </c>
    </row>
    <row r="222" spans="1:13" x14ac:dyDescent="0.3">
      <c r="A222">
        <v>100221</v>
      </c>
      <c r="B222">
        <v>69</v>
      </c>
      <c r="C222" t="str">
        <f t="shared" si="3"/>
        <v>60+</v>
      </c>
      <c r="D222" t="s">
        <v>12</v>
      </c>
      <c r="E222" t="s">
        <v>16</v>
      </c>
      <c r="F222" t="s">
        <v>21</v>
      </c>
      <c r="G222" t="s">
        <v>26</v>
      </c>
      <c r="H222">
        <v>14</v>
      </c>
      <c r="I222">
        <v>231797</v>
      </c>
      <c r="J222" t="s">
        <v>29</v>
      </c>
      <c r="K222" t="s">
        <v>30</v>
      </c>
      <c r="L222" t="s">
        <v>35</v>
      </c>
      <c r="M222">
        <v>5</v>
      </c>
    </row>
    <row r="223" spans="1:13" x14ac:dyDescent="0.3">
      <c r="A223">
        <v>100222</v>
      </c>
      <c r="B223">
        <v>70</v>
      </c>
      <c r="C223" t="str">
        <f t="shared" si="3"/>
        <v>60+</v>
      </c>
      <c r="D223" t="s">
        <v>13</v>
      </c>
      <c r="E223" t="s">
        <v>15</v>
      </c>
      <c r="F223" t="s">
        <v>20</v>
      </c>
      <c r="G223" t="s">
        <v>25</v>
      </c>
      <c r="H223">
        <v>5</v>
      </c>
      <c r="I223">
        <v>105844</v>
      </c>
      <c r="J223" t="s">
        <v>28</v>
      </c>
      <c r="K223" t="s">
        <v>30</v>
      </c>
      <c r="L223" t="s">
        <v>35</v>
      </c>
      <c r="M223">
        <v>4</v>
      </c>
    </row>
    <row r="224" spans="1:13" x14ac:dyDescent="0.3">
      <c r="A224">
        <v>100223</v>
      </c>
      <c r="B224">
        <v>86</v>
      </c>
      <c r="C224" t="str">
        <f t="shared" si="3"/>
        <v>60+</v>
      </c>
      <c r="D224" t="s">
        <v>12</v>
      </c>
      <c r="E224" t="s">
        <v>15</v>
      </c>
      <c r="F224" t="s">
        <v>22</v>
      </c>
      <c r="G224" t="s">
        <v>27</v>
      </c>
      <c r="H224">
        <v>6</v>
      </c>
      <c r="I224">
        <v>93321</v>
      </c>
      <c r="J224" t="s">
        <v>28</v>
      </c>
      <c r="K224" t="s">
        <v>8</v>
      </c>
      <c r="L224" t="s">
        <v>32</v>
      </c>
      <c r="M224">
        <v>3</v>
      </c>
    </row>
    <row r="225" spans="1:13" x14ac:dyDescent="0.3">
      <c r="A225">
        <v>100224</v>
      </c>
      <c r="B225">
        <v>11</v>
      </c>
      <c r="C225" t="str">
        <f t="shared" si="3"/>
        <v>0-18</v>
      </c>
      <c r="D225" t="s">
        <v>13</v>
      </c>
      <c r="E225" t="s">
        <v>14</v>
      </c>
      <c r="F225" t="s">
        <v>20</v>
      </c>
      <c r="G225" t="s">
        <v>26</v>
      </c>
      <c r="H225">
        <v>10</v>
      </c>
      <c r="I225">
        <v>51056</v>
      </c>
      <c r="J225" t="s">
        <v>29</v>
      </c>
      <c r="K225" t="s">
        <v>30</v>
      </c>
      <c r="L225" t="s">
        <v>34</v>
      </c>
      <c r="M225">
        <v>1</v>
      </c>
    </row>
    <row r="226" spans="1:13" x14ac:dyDescent="0.3">
      <c r="A226">
        <v>100225</v>
      </c>
      <c r="B226">
        <v>16</v>
      </c>
      <c r="C226" t="str">
        <f t="shared" si="3"/>
        <v>0-18</v>
      </c>
      <c r="D226" t="s">
        <v>13</v>
      </c>
      <c r="E226" t="s">
        <v>19</v>
      </c>
      <c r="F226" t="s">
        <v>22</v>
      </c>
      <c r="G226" t="s">
        <v>26</v>
      </c>
      <c r="H226">
        <v>8</v>
      </c>
      <c r="I226">
        <v>196923</v>
      </c>
      <c r="J226" t="s">
        <v>28</v>
      </c>
      <c r="K226" t="s">
        <v>30</v>
      </c>
      <c r="L226" t="s">
        <v>32</v>
      </c>
      <c r="M226">
        <v>3</v>
      </c>
    </row>
    <row r="227" spans="1:13" x14ac:dyDescent="0.3">
      <c r="A227">
        <v>100226</v>
      </c>
      <c r="B227">
        <v>73</v>
      </c>
      <c r="C227" t="str">
        <f t="shared" si="3"/>
        <v>60+</v>
      </c>
      <c r="D227" t="s">
        <v>13</v>
      </c>
      <c r="E227" t="s">
        <v>19</v>
      </c>
      <c r="F227" t="s">
        <v>24</v>
      </c>
      <c r="G227" t="s">
        <v>25</v>
      </c>
      <c r="H227">
        <v>14</v>
      </c>
      <c r="I227">
        <v>100234</v>
      </c>
      <c r="J227" t="s">
        <v>29</v>
      </c>
      <c r="K227" t="s">
        <v>8</v>
      </c>
      <c r="L227" t="s">
        <v>33</v>
      </c>
      <c r="M227">
        <v>1</v>
      </c>
    </row>
    <row r="228" spans="1:13" x14ac:dyDescent="0.3">
      <c r="A228">
        <v>100227</v>
      </c>
      <c r="B228">
        <v>59</v>
      </c>
      <c r="C228" t="str">
        <f t="shared" si="3"/>
        <v>41-60</v>
      </c>
      <c r="D228" t="s">
        <v>12</v>
      </c>
      <c r="E228" t="s">
        <v>15</v>
      </c>
      <c r="F228" t="s">
        <v>21</v>
      </c>
      <c r="G228" t="s">
        <v>26</v>
      </c>
      <c r="H228">
        <v>3</v>
      </c>
      <c r="I228">
        <v>214574</v>
      </c>
      <c r="J228" t="s">
        <v>29</v>
      </c>
      <c r="K228" t="s">
        <v>8</v>
      </c>
      <c r="L228" t="s">
        <v>35</v>
      </c>
      <c r="M228">
        <v>2</v>
      </c>
    </row>
    <row r="229" spans="1:13" x14ac:dyDescent="0.3">
      <c r="A229">
        <v>100228</v>
      </c>
      <c r="B229">
        <v>70</v>
      </c>
      <c r="C229" t="str">
        <f t="shared" si="3"/>
        <v>60+</v>
      </c>
      <c r="D229" t="s">
        <v>13</v>
      </c>
      <c r="E229" t="s">
        <v>16</v>
      </c>
      <c r="F229" t="s">
        <v>22</v>
      </c>
      <c r="G229" t="s">
        <v>26</v>
      </c>
      <c r="H229">
        <v>12</v>
      </c>
      <c r="I229">
        <v>229705</v>
      </c>
      <c r="J229" t="s">
        <v>29</v>
      </c>
      <c r="K229" t="s">
        <v>31</v>
      </c>
      <c r="L229" t="s">
        <v>33</v>
      </c>
      <c r="M229">
        <v>4</v>
      </c>
    </row>
    <row r="230" spans="1:13" x14ac:dyDescent="0.3">
      <c r="A230">
        <v>100229</v>
      </c>
      <c r="B230">
        <v>80</v>
      </c>
      <c r="C230" t="str">
        <f t="shared" si="3"/>
        <v>60+</v>
      </c>
      <c r="D230" t="s">
        <v>12</v>
      </c>
      <c r="E230" t="s">
        <v>18</v>
      </c>
      <c r="F230" t="s">
        <v>20</v>
      </c>
      <c r="G230" t="s">
        <v>27</v>
      </c>
      <c r="H230">
        <v>16</v>
      </c>
      <c r="I230">
        <v>214490</v>
      </c>
      <c r="J230" t="s">
        <v>29</v>
      </c>
      <c r="K230" t="s">
        <v>8</v>
      </c>
      <c r="L230" t="s">
        <v>32</v>
      </c>
      <c r="M230">
        <v>2</v>
      </c>
    </row>
    <row r="231" spans="1:13" x14ac:dyDescent="0.3">
      <c r="A231">
        <v>100230</v>
      </c>
      <c r="B231">
        <v>3</v>
      </c>
      <c r="C231" t="str">
        <f t="shared" si="3"/>
        <v>0-18</v>
      </c>
      <c r="D231" t="s">
        <v>12</v>
      </c>
      <c r="E231" t="s">
        <v>16</v>
      </c>
      <c r="F231" t="s">
        <v>21</v>
      </c>
      <c r="G231" t="s">
        <v>27</v>
      </c>
      <c r="H231">
        <v>17</v>
      </c>
      <c r="I231">
        <v>203283</v>
      </c>
      <c r="J231" t="s">
        <v>29</v>
      </c>
      <c r="K231" t="s">
        <v>31</v>
      </c>
      <c r="L231" t="s">
        <v>35</v>
      </c>
      <c r="M231">
        <v>2</v>
      </c>
    </row>
    <row r="232" spans="1:13" x14ac:dyDescent="0.3">
      <c r="A232">
        <v>100231</v>
      </c>
      <c r="B232">
        <v>20</v>
      </c>
      <c r="C232" t="str">
        <f t="shared" si="3"/>
        <v>19-40</v>
      </c>
      <c r="D232" t="s">
        <v>12</v>
      </c>
      <c r="E232" t="s">
        <v>17</v>
      </c>
      <c r="F232" t="s">
        <v>24</v>
      </c>
      <c r="G232" t="s">
        <v>25</v>
      </c>
      <c r="H232">
        <v>1</v>
      </c>
      <c r="I232">
        <v>43850</v>
      </c>
      <c r="J232" t="s">
        <v>28</v>
      </c>
      <c r="K232" t="s">
        <v>30</v>
      </c>
      <c r="L232" t="s">
        <v>33</v>
      </c>
      <c r="M232">
        <v>1</v>
      </c>
    </row>
    <row r="233" spans="1:13" x14ac:dyDescent="0.3">
      <c r="A233">
        <v>100232</v>
      </c>
      <c r="B233">
        <v>59</v>
      </c>
      <c r="C233" t="str">
        <f t="shared" si="3"/>
        <v>41-60</v>
      </c>
      <c r="D233" t="s">
        <v>13</v>
      </c>
      <c r="E233" t="s">
        <v>17</v>
      </c>
      <c r="F233" t="s">
        <v>21</v>
      </c>
      <c r="G233" t="s">
        <v>27</v>
      </c>
      <c r="H233">
        <v>10</v>
      </c>
      <c r="I233">
        <v>211617</v>
      </c>
      <c r="J233" t="s">
        <v>28</v>
      </c>
      <c r="K233" t="s">
        <v>8</v>
      </c>
      <c r="L233" t="s">
        <v>33</v>
      </c>
      <c r="M233">
        <v>3</v>
      </c>
    </row>
    <row r="234" spans="1:13" x14ac:dyDescent="0.3">
      <c r="A234">
        <v>100233</v>
      </c>
      <c r="B234">
        <v>36</v>
      </c>
      <c r="C234" t="str">
        <f t="shared" si="3"/>
        <v>19-40</v>
      </c>
      <c r="D234" t="s">
        <v>13</v>
      </c>
      <c r="E234" t="s">
        <v>18</v>
      </c>
      <c r="F234" t="s">
        <v>22</v>
      </c>
      <c r="G234" t="s">
        <v>25</v>
      </c>
      <c r="H234">
        <v>10</v>
      </c>
      <c r="I234">
        <v>29843</v>
      </c>
      <c r="J234" t="s">
        <v>28</v>
      </c>
      <c r="K234" t="s">
        <v>8</v>
      </c>
      <c r="L234" t="s">
        <v>34</v>
      </c>
      <c r="M234">
        <v>5</v>
      </c>
    </row>
    <row r="235" spans="1:13" x14ac:dyDescent="0.3">
      <c r="A235">
        <v>100234</v>
      </c>
      <c r="B235">
        <v>19</v>
      </c>
      <c r="C235" t="str">
        <f t="shared" si="3"/>
        <v>19-40</v>
      </c>
      <c r="D235" t="s">
        <v>13</v>
      </c>
      <c r="E235" t="s">
        <v>15</v>
      </c>
      <c r="F235" t="s">
        <v>24</v>
      </c>
      <c r="G235" t="s">
        <v>25</v>
      </c>
      <c r="H235">
        <v>2</v>
      </c>
      <c r="I235">
        <v>64320</v>
      </c>
      <c r="J235" t="s">
        <v>28</v>
      </c>
      <c r="K235" t="s">
        <v>8</v>
      </c>
      <c r="L235" t="s">
        <v>35</v>
      </c>
      <c r="M235">
        <v>1</v>
      </c>
    </row>
    <row r="236" spans="1:13" x14ac:dyDescent="0.3">
      <c r="A236">
        <v>100235</v>
      </c>
      <c r="B236">
        <v>67</v>
      </c>
      <c r="C236" t="str">
        <f t="shared" si="3"/>
        <v>60+</v>
      </c>
      <c r="D236" t="s">
        <v>13</v>
      </c>
      <c r="E236" t="s">
        <v>18</v>
      </c>
      <c r="F236" t="s">
        <v>20</v>
      </c>
      <c r="G236" t="s">
        <v>25</v>
      </c>
      <c r="H236">
        <v>9</v>
      </c>
      <c r="I236">
        <v>31793</v>
      </c>
      <c r="J236" t="s">
        <v>29</v>
      </c>
      <c r="K236" t="s">
        <v>30</v>
      </c>
      <c r="L236" t="s">
        <v>33</v>
      </c>
      <c r="M236">
        <v>5</v>
      </c>
    </row>
    <row r="237" spans="1:13" x14ac:dyDescent="0.3">
      <c r="A237">
        <v>100236</v>
      </c>
      <c r="B237">
        <v>19</v>
      </c>
      <c r="C237" t="str">
        <f t="shared" si="3"/>
        <v>19-40</v>
      </c>
      <c r="D237" t="s">
        <v>12</v>
      </c>
      <c r="E237" t="s">
        <v>19</v>
      </c>
      <c r="F237" t="s">
        <v>24</v>
      </c>
      <c r="G237" t="s">
        <v>26</v>
      </c>
      <c r="H237">
        <v>13</v>
      </c>
      <c r="I237">
        <v>172588</v>
      </c>
      <c r="J237" t="s">
        <v>28</v>
      </c>
      <c r="K237" t="s">
        <v>31</v>
      </c>
      <c r="L237" t="s">
        <v>33</v>
      </c>
      <c r="M237">
        <v>2</v>
      </c>
    </row>
    <row r="238" spans="1:13" x14ac:dyDescent="0.3">
      <c r="A238">
        <v>100237</v>
      </c>
      <c r="B238">
        <v>20</v>
      </c>
      <c r="C238" t="str">
        <f t="shared" si="3"/>
        <v>19-40</v>
      </c>
      <c r="D238" t="s">
        <v>12</v>
      </c>
      <c r="E238" t="s">
        <v>17</v>
      </c>
      <c r="F238" t="s">
        <v>24</v>
      </c>
      <c r="G238" t="s">
        <v>27</v>
      </c>
      <c r="H238">
        <v>16</v>
      </c>
      <c r="I238">
        <v>237479</v>
      </c>
      <c r="J238" t="s">
        <v>29</v>
      </c>
      <c r="K238" t="s">
        <v>30</v>
      </c>
      <c r="L238" t="s">
        <v>34</v>
      </c>
      <c r="M238">
        <v>5</v>
      </c>
    </row>
    <row r="239" spans="1:13" x14ac:dyDescent="0.3">
      <c r="A239">
        <v>100238</v>
      </c>
      <c r="B239">
        <v>71</v>
      </c>
      <c r="C239" t="str">
        <f t="shared" si="3"/>
        <v>60+</v>
      </c>
      <c r="D239" t="s">
        <v>12</v>
      </c>
      <c r="E239" t="s">
        <v>14</v>
      </c>
      <c r="F239" t="s">
        <v>23</v>
      </c>
      <c r="G239" t="s">
        <v>25</v>
      </c>
      <c r="H239">
        <v>18</v>
      </c>
      <c r="I239">
        <v>150929</v>
      </c>
      <c r="J239" t="s">
        <v>28</v>
      </c>
      <c r="K239" t="s">
        <v>30</v>
      </c>
      <c r="L239" t="s">
        <v>33</v>
      </c>
      <c r="M239">
        <v>3</v>
      </c>
    </row>
    <row r="240" spans="1:13" x14ac:dyDescent="0.3">
      <c r="A240">
        <v>100239</v>
      </c>
      <c r="B240">
        <v>52</v>
      </c>
      <c r="C240" t="str">
        <f t="shared" si="3"/>
        <v>41-60</v>
      </c>
      <c r="D240" t="s">
        <v>13</v>
      </c>
      <c r="E240" t="s">
        <v>14</v>
      </c>
      <c r="F240" t="s">
        <v>24</v>
      </c>
      <c r="G240" t="s">
        <v>27</v>
      </c>
      <c r="H240">
        <v>19</v>
      </c>
      <c r="I240">
        <v>21627</v>
      </c>
      <c r="J240" t="s">
        <v>28</v>
      </c>
      <c r="K240" t="s">
        <v>8</v>
      </c>
      <c r="L240" t="s">
        <v>33</v>
      </c>
      <c r="M240">
        <v>1</v>
      </c>
    </row>
    <row r="241" spans="1:13" x14ac:dyDescent="0.3">
      <c r="A241">
        <v>100240</v>
      </c>
      <c r="B241">
        <v>33</v>
      </c>
      <c r="C241" t="str">
        <f t="shared" si="3"/>
        <v>19-40</v>
      </c>
      <c r="D241" t="s">
        <v>12</v>
      </c>
      <c r="E241" t="s">
        <v>15</v>
      </c>
      <c r="F241" t="s">
        <v>24</v>
      </c>
      <c r="G241" t="s">
        <v>25</v>
      </c>
      <c r="H241">
        <v>12</v>
      </c>
      <c r="I241">
        <v>63822</v>
      </c>
      <c r="J241" t="s">
        <v>28</v>
      </c>
      <c r="K241" t="s">
        <v>31</v>
      </c>
      <c r="L241" t="s">
        <v>33</v>
      </c>
      <c r="M241">
        <v>3</v>
      </c>
    </row>
    <row r="242" spans="1:13" x14ac:dyDescent="0.3">
      <c r="A242">
        <v>100241</v>
      </c>
      <c r="B242">
        <v>40</v>
      </c>
      <c r="C242" t="str">
        <f t="shared" si="3"/>
        <v>19-40</v>
      </c>
      <c r="D242" t="s">
        <v>13</v>
      </c>
      <c r="E242" t="s">
        <v>19</v>
      </c>
      <c r="F242" t="s">
        <v>21</v>
      </c>
      <c r="G242" t="s">
        <v>27</v>
      </c>
      <c r="H242">
        <v>8</v>
      </c>
      <c r="I242">
        <v>217173</v>
      </c>
      <c r="J242" t="s">
        <v>28</v>
      </c>
      <c r="K242" t="s">
        <v>30</v>
      </c>
      <c r="L242" t="s">
        <v>34</v>
      </c>
      <c r="M242">
        <v>3</v>
      </c>
    </row>
    <row r="243" spans="1:13" x14ac:dyDescent="0.3">
      <c r="A243">
        <v>100242</v>
      </c>
      <c r="B243">
        <v>39</v>
      </c>
      <c r="C243" t="str">
        <f t="shared" si="3"/>
        <v>19-40</v>
      </c>
      <c r="D243" t="s">
        <v>12</v>
      </c>
      <c r="E243" t="s">
        <v>16</v>
      </c>
      <c r="F243" t="s">
        <v>20</v>
      </c>
      <c r="G243" t="s">
        <v>27</v>
      </c>
      <c r="H243">
        <v>17</v>
      </c>
      <c r="I243">
        <v>224633</v>
      </c>
      <c r="J243" t="s">
        <v>29</v>
      </c>
      <c r="K243" t="s">
        <v>8</v>
      </c>
      <c r="L243" t="s">
        <v>33</v>
      </c>
      <c r="M243">
        <v>1</v>
      </c>
    </row>
    <row r="244" spans="1:13" x14ac:dyDescent="0.3">
      <c r="A244">
        <v>100243</v>
      </c>
      <c r="B244">
        <v>82</v>
      </c>
      <c r="C244" t="str">
        <f t="shared" si="3"/>
        <v>60+</v>
      </c>
      <c r="D244" t="s">
        <v>13</v>
      </c>
      <c r="E244" t="s">
        <v>19</v>
      </c>
      <c r="F244" t="s">
        <v>21</v>
      </c>
      <c r="G244" t="s">
        <v>25</v>
      </c>
      <c r="H244">
        <v>15</v>
      </c>
      <c r="I244">
        <v>185320</v>
      </c>
      <c r="J244" t="s">
        <v>28</v>
      </c>
      <c r="K244" t="s">
        <v>30</v>
      </c>
      <c r="L244" t="s">
        <v>33</v>
      </c>
      <c r="M244">
        <v>3</v>
      </c>
    </row>
    <row r="245" spans="1:13" x14ac:dyDescent="0.3">
      <c r="A245">
        <v>100244</v>
      </c>
      <c r="B245">
        <v>1</v>
      </c>
      <c r="C245" t="str">
        <f t="shared" si="3"/>
        <v>0-18</v>
      </c>
      <c r="D245" t="s">
        <v>13</v>
      </c>
      <c r="E245" t="s">
        <v>14</v>
      </c>
      <c r="F245" t="s">
        <v>21</v>
      </c>
      <c r="G245" t="s">
        <v>26</v>
      </c>
      <c r="H245">
        <v>10</v>
      </c>
      <c r="I245">
        <v>57798</v>
      </c>
      <c r="J245" t="s">
        <v>28</v>
      </c>
      <c r="K245" t="s">
        <v>30</v>
      </c>
      <c r="L245" t="s">
        <v>35</v>
      </c>
      <c r="M245">
        <v>4</v>
      </c>
    </row>
    <row r="246" spans="1:13" x14ac:dyDescent="0.3">
      <c r="A246">
        <v>100245</v>
      </c>
      <c r="B246">
        <v>11</v>
      </c>
      <c r="C246" t="str">
        <f t="shared" si="3"/>
        <v>0-18</v>
      </c>
      <c r="D246" t="s">
        <v>12</v>
      </c>
      <c r="E246" t="s">
        <v>14</v>
      </c>
      <c r="F246" t="s">
        <v>22</v>
      </c>
      <c r="G246" t="s">
        <v>27</v>
      </c>
      <c r="H246">
        <v>15</v>
      </c>
      <c r="I246">
        <v>226440</v>
      </c>
      <c r="J246" t="s">
        <v>29</v>
      </c>
      <c r="K246" t="s">
        <v>8</v>
      </c>
      <c r="L246" t="s">
        <v>35</v>
      </c>
      <c r="M246">
        <v>4</v>
      </c>
    </row>
    <row r="247" spans="1:13" x14ac:dyDescent="0.3">
      <c r="A247">
        <v>100246</v>
      </c>
      <c r="B247">
        <v>57</v>
      </c>
      <c r="C247" t="str">
        <f t="shared" si="3"/>
        <v>41-60</v>
      </c>
      <c r="D247" t="s">
        <v>12</v>
      </c>
      <c r="E247" t="s">
        <v>17</v>
      </c>
      <c r="F247" t="s">
        <v>21</v>
      </c>
      <c r="G247" t="s">
        <v>26</v>
      </c>
      <c r="H247">
        <v>15</v>
      </c>
      <c r="I247">
        <v>177188</v>
      </c>
      <c r="J247" t="s">
        <v>29</v>
      </c>
      <c r="K247" t="s">
        <v>8</v>
      </c>
      <c r="L247" t="s">
        <v>34</v>
      </c>
      <c r="M247">
        <v>4</v>
      </c>
    </row>
    <row r="248" spans="1:13" x14ac:dyDescent="0.3">
      <c r="A248">
        <v>100247</v>
      </c>
      <c r="B248">
        <v>89</v>
      </c>
      <c r="C248" t="str">
        <f t="shared" si="3"/>
        <v>60+</v>
      </c>
      <c r="D248" t="s">
        <v>12</v>
      </c>
      <c r="E248" t="s">
        <v>19</v>
      </c>
      <c r="F248" t="s">
        <v>23</v>
      </c>
      <c r="G248" t="s">
        <v>26</v>
      </c>
      <c r="H248">
        <v>7</v>
      </c>
      <c r="I248">
        <v>77318</v>
      </c>
      <c r="J248" t="s">
        <v>28</v>
      </c>
      <c r="K248" t="s">
        <v>31</v>
      </c>
      <c r="L248" t="s">
        <v>32</v>
      </c>
      <c r="M248">
        <v>5</v>
      </c>
    </row>
    <row r="249" spans="1:13" x14ac:dyDescent="0.3">
      <c r="A249">
        <v>100248</v>
      </c>
      <c r="B249">
        <v>50</v>
      </c>
      <c r="C249" t="str">
        <f t="shared" si="3"/>
        <v>41-60</v>
      </c>
      <c r="D249" t="s">
        <v>12</v>
      </c>
      <c r="E249" t="s">
        <v>19</v>
      </c>
      <c r="F249" t="s">
        <v>23</v>
      </c>
      <c r="G249" t="s">
        <v>25</v>
      </c>
      <c r="H249">
        <v>13</v>
      </c>
      <c r="I249">
        <v>106186</v>
      </c>
      <c r="J249" t="s">
        <v>29</v>
      </c>
      <c r="K249" t="s">
        <v>30</v>
      </c>
      <c r="L249" t="s">
        <v>35</v>
      </c>
      <c r="M249">
        <v>3</v>
      </c>
    </row>
    <row r="250" spans="1:13" x14ac:dyDescent="0.3">
      <c r="A250">
        <v>100249</v>
      </c>
      <c r="B250">
        <v>23</v>
      </c>
      <c r="C250" t="str">
        <f t="shared" si="3"/>
        <v>19-40</v>
      </c>
      <c r="D250" t="s">
        <v>13</v>
      </c>
      <c r="E250" t="s">
        <v>14</v>
      </c>
      <c r="F250" t="s">
        <v>22</v>
      </c>
      <c r="G250" t="s">
        <v>25</v>
      </c>
      <c r="H250">
        <v>17</v>
      </c>
      <c r="I250">
        <v>89902</v>
      </c>
      <c r="J250" t="s">
        <v>29</v>
      </c>
      <c r="K250" t="s">
        <v>8</v>
      </c>
      <c r="L250" t="s">
        <v>34</v>
      </c>
      <c r="M250">
        <v>1</v>
      </c>
    </row>
    <row r="251" spans="1:13" x14ac:dyDescent="0.3">
      <c r="A251">
        <v>100250</v>
      </c>
      <c r="B251">
        <v>31</v>
      </c>
      <c r="C251" t="str">
        <f t="shared" si="3"/>
        <v>19-40</v>
      </c>
      <c r="D251" t="s">
        <v>12</v>
      </c>
      <c r="E251" t="s">
        <v>16</v>
      </c>
      <c r="F251" t="s">
        <v>20</v>
      </c>
      <c r="G251" t="s">
        <v>25</v>
      </c>
      <c r="H251">
        <v>9</v>
      </c>
      <c r="I251">
        <v>161629</v>
      </c>
      <c r="J251" t="s">
        <v>29</v>
      </c>
      <c r="K251" t="s">
        <v>8</v>
      </c>
      <c r="L251" t="s">
        <v>33</v>
      </c>
      <c r="M251">
        <v>1</v>
      </c>
    </row>
    <row r="252" spans="1:13" x14ac:dyDescent="0.3">
      <c r="A252">
        <v>100251</v>
      </c>
      <c r="B252">
        <v>42</v>
      </c>
      <c r="C252" t="str">
        <f t="shared" si="3"/>
        <v>41-60</v>
      </c>
      <c r="D252" t="s">
        <v>12</v>
      </c>
      <c r="E252" t="s">
        <v>15</v>
      </c>
      <c r="F252" t="s">
        <v>20</v>
      </c>
      <c r="G252" t="s">
        <v>27</v>
      </c>
      <c r="H252">
        <v>8</v>
      </c>
      <c r="I252">
        <v>73334</v>
      </c>
      <c r="J252" t="s">
        <v>28</v>
      </c>
      <c r="K252" t="s">
        <v>31</v>
      </c>
      <c r="L252" t="s">
        <v>33</v>
      </c>
      <c r="M252">
        <v>5</v>
      </c>
    </row>
    <row r="253" spans="1:13" x14ac:dyDescent="0.3">
      <c r="A253">
        <v>100252</v>
      </c>
      <c r="B253">
        <v>7</v>
      </c>
      <c r="C253" t="str">
        <f t="shared" si="3"/>
        <v>0-18</v>
      </c>
      <c r="D253" t="s">
        <v>12</v>
      </c>
      <c r="E253" t="s">
        <v>15</v>
      </c>
      <c r="F253" t="s">
        <v>21</v>
      </c>
      <c r="G253" t="s">
        <v>25</v>
      </c>
      <c r="H253">
        <v>18</v>
      </c>
      <c r="I253">
        <v>208235</v>
      </c>
      <c r="J253" t="s">
        <v>29</v>
      </c>
      <c r="K253" t="s">
        <v>31</v>
      </c>
      <c r="L253" t="s">
        <v>34</v>
      </c>
      <c r="M253">
        <v>1</v>
      </c>
    </row>
    <row r="254" spans="1:13" x14ac:dyDescent="0.3">
      <c r="A254">
        <v>100253</v>
      </c>
      <c r="B254">
        <v>16</v>
      </c>
      <c r="C254" t="str">
        <f t="shared" si="3"/>
        <v>0-18</v>
      </c>
      <c r="D254" t="s">
        <v>13</v>
      </c>
      <c r="E254" t="s">
        <v>19</v>
      </c>
      <c r="F254" t="s">
        <v>21</v>
      </c>
      <c r="G254" t="s">
        <v>25</v>
      </c>
      <c r="H254">
        <v>13</v>
      </c>
      <c r="I254">
        <v>108719</v>
      </c>
      <c r="J254" t="s">
        <v>28</v>
      </c>
      <c r="K254" t="s">
        <v>8</v>
      </c>
      <c r="L254" t="s">
        <v>33</v>
      </c>
      <c r="M254">
        <v>4</v>
      </c>
    </row>
    <row r="255" spans="1:13" x14ac:dyDescent="0.3">
      <c r="A255">
        <v>100254</v>
      </c>
      <c r="B255">
        <v>60</v>
      </c>
      <c r="C255" t="str">
        <f t="shared" si="3"/>
        <v>41-60</v>
      </c>
      <c r="D255" t="s">
        <v>13</v>
      </c>
      <c r="E255" t="s">
        <v>15</v>
      </c>
      <c r="F255" t="s">
        <v>21</v>
      </c>
      <c r="G255" t="s">
        <v>27</v>
      </c>
      <c r="H255">
        <v>16</v>
      </c>
      <c r="I255">
        <v>125099</v>
      </c>
      <c r="J255" t="s">
        <v>28</v>
      </c>
      <c r="K255" t="s">
        <v>31</v>
      </c>
      <c r="L255" t="s">
        <v>33</v>
      </c>
      <c r="M255">
        <v>3</v>
      </c>
    </row>
    <row r="256" spans="1:13" x14ac:dyDescent="0.3">
      <c r="A256">
        <v>100255</v>
      </c>
      <c r="B256">
        <v>2</v>
      </c>
      <c r="C256" t="str">
        <f t="shared" si="3"/>
        <v>0-18</v>
      </c>
      <c r="D256" t="s">
        <v>12</v>
      </c>
      <c r="E256" t="s">
        <v>14</v>
      </c>
      <c r="F256" t="s">
        <v>20</v>
      </c>
      <c r="G256" t="s">
        <v>27</v>
      </c>
      <c r="H256">
        <v>9</v>
      </c>
      <c r="I256">
        <v>211074</v>
      </c>
      <c r="J256" t="s">
        <v>28</v>
      </c>
      <c r="K256" t="s">
        <v>8</v>
      </c>
      <c r="L256" t="s">
        <v>32</v>
      </c>
      <c r="M256">
        <v>1</v>
      </c>
    </row>
    <row r="257" spans="1:13" x14ac:dyDescent="0.3">
      <c r="A257">
        <v>100256</v>
      </c>
      <c r="B257">
        <v>1</v>
      </c>
      <c r="C257" t="str">
        <f t="shared" si="3"/>
        <v>0-18</v>
      </c>
      <c r="D257" t="s">
        <v>13</v>
      </c>
      <c r="E257" t="s">
        <v>14</v>
      </c>
      <c r="F257" t="s">
        <v>24</v>
      </c>
      <c r="G257" t="s">
        <v>25</v>
      </c>
      <c r="H257">
        <v>12</v>
      </c>
      <c r="I257">
        <v>175686</v>
      </c>
      <c r="J257" t="s">
        <v>28</v>
      </c>
      <c r="K257" t="s">
        <v>30</v>
      </c>
      <c r="L257" t="s">
        <v>33</v>
      </c>
      <c r="M257">
        <v>1</v>
      </c>
    </row>
    <row r="258" spans="1:13" x14ac:dyDescent="0.3">
      <c r="A258">
        <v>100257</v>
      </c>
      <c r="B258">
        <v>48</v>
      </c>
      <c r="C258" t="str">
        <f t="shared" ref="C258:C321" si="4">IF(B258&lt;=18,"0-18",IF(B258&lt;=40,"19-40",IF(B258&lt;=60,"41-60","60+")))</f>
        <v>41-60</v>
      </c>
      <c r="D258" t="s">
        <v>12</v>
      </c>
      <c r="E258" t="s">
        <v>19</v>
      </c>
      <c r="F258" t="s">
        <v>23</v>
      </c>
      <c r="G258" t="s">
        <v>25</v>
      </c>
      <c r="H258">
        <v>12</v>
      </c>
      <c r="I258">
        <v>14720</v>
      </c>
      <c r="J258" t="s">
        <v>29</v>
      </c>
      <c r="K258" t="s">
        <v>31</v>
      </c>
      <c r="L258" t="s">
        <v>35</v>
      </c>
      <c r="M258">
        <v>2</v>
      </c>
    </row>
    <row r="259" spans="1:13" x14ac:dyDescent="0.3">
      <c r="A259">
        <v>100258</v>
      </c>
      <c r="B259">
        <v>12</v>
      </c>
      <c r="C259" t="str">
        <f t="shared" si="4"/>
        <v>0-18</v>
      </c>
      <c r="D259" t="s">
        <v>13</v>
      </c>
      <c r="E259" t="s">
        <v>19</v>
      </c>
      <c r="F259" t="s">
        <v>24</v>
      </c>
      <c r="G259" t="s">
        <v>25</v>
      </c>
      <c r="H259">
        <v>6</v>
      </c>
      <c r="I259">
        <v>59608</v>
      </c>
      <c r="J259" t="s">
        <v>28</v>
      </c>
      <c r="K259" t="s">
        <v>30</v>
      </c>
      <c r="L259" t="s">
        <v>33</v>
      </c>
      <c r="M259">
        <v>2</v>
      </c>
    </row>
    <row r="260" spans="1:13" x14ac:dyDescent="0.3">
      <c r="A260">
        <v>100259</v>
      </c>
      <c r="B260">
        <v>69</v>
      </c>
      <c r="C260" t="str">
        <f t="shared" si="4"/>
        <v>60+</v>
      </c>
      <c r="D260" t="s">
        <v>13</v>
      </c>
      <c r="E260" t="s">
        <v>17</v>
      </c>
      <c r="F260" t="s">
        <v>24</v>
      </c>
      <c r="G260" t="s">
        <v>25</v>
      </c>
      <c r="H260">
        <v>19</v>
      </c>
      <c r="I260">
        <v>109449</v>
      </c>
      <c r="J260" t="s">
        <v>29</v>
      </c>
      <c r="K260" t="s">
        <v>30</v>
      </c>
      <c r="L260" t="s">
        <v>34</v>
      </c>
      <c r="M260">
        <v>2</v>
      </c>
    </row>
    <row r="261" spans="1:13" x14ac:dyDescent="0.3">
      <c r="A261">
        <v>100260</v>
      </c>
      <c r="B261">
        <v>37</v>
      </c>
      <c r="C261" t="str">
        <f t="shared" si="4"/>
        <v>19-40</v>
      </c>
      <c r="D261" t="s">
        <v>13</v>
      </c>
      <c r="E261" t="s">
        <v>19</v>
      </c>
      <c r="F261" t="s">
        <v>20</v>
      </c>
      <c r="G261" t="s">
        <v>26</v>
      </c>
      <c r="H261">
        <v>7</v>
      </c>
      <c r="I261">
        <v>104828</v>
      </c>
      <c r="J261" t="s">
        <v>28</v>
      </c>
      <c r="K261" t="s">
        <v>30</v>
      </c>
      <c r="L261" t="s">
        <v>32</v>
      </c>
      <c r="M261">
        <v>3</v>
      </c>
    </row>
    <row r="262" spans="1:13" x14ac:dyDescent="0.3">
      <c r="A262">
        <v>100261</v>
      </c>
      <c r="B262">
        <v>32</v>
      </c>
      <c r="C262" t="str">
        <f t="shared" si="4"/>
        <v>19-40</v>
      </c>
      <c r="D262" t="s">
        <v>13</v>
      </c>
      <c r="E262" t="s">
        <v>16</v>
      </c>
      <c r="F262" t="s">
        <v>24</v>
      </c>
      <c r="G262" t="s">
        <v>26</v>
      </c>
      <c r="H262">
        <v>3</v>
      </c>
      <c r="I262">
        <v>128613</v>
      </c>
      <c r="J262" t="s">
        <v>29</v>
      </c>
      <c r="K262" t="s">
        <v>8</v>
      </c>
      <c r="L262" t="s">
        <v>33</v>
      </c>
      <c r="M262">
        <v>4</v>
      </c>
    </row>
    <row r="263" spans="1:13" x14ac:dyDescent="0.3">
      <c r="A263">
        <v>100262</v>
      </c>
      <c r="B263">
        <v>9</v>
      </c>
      <c r="C263" t="str">
        <f t="shared" si="4"/>
        <v>0-18</v>
      </c>
      <c r="D263" t="s">
        <v>12</v>
      </c>
      <c r="E263" t="s">
        <v>15</v>
      </c>
      <c r="F263" t="s">
        <v>22</v>
      </c>
      <c r="G263" t="s">
        <v>25</v>
      </c>
      <c r="H263">
        <v>16</v>
      </c>
      <c r="I263">
        <v>74095</v>
      </c>
      <c r="J263" t="s">
        <v>28</v>
      </c>
      <c r="K263" t="s">
        <v>30</v>
      </c>
      <c r="L263" t="s">
        <v>34</v>
      </c>
      <c r="M263">
        <v>4</v>
      </c>
    </row>
    <row r="264" spans="1:13" x14ac:dyDescent="0.3">
      <c r="A264">
        <v>100263</v>
      </c>
      <c r="B264">
        <v>19</v>
      </c>
      <c r="C264" t="str">
        <f t="shared" si="4"/>
        <v>19-40</v>
      </c>
      <c r="D264" t="s">
        <v>12</v>
      </c>
      <c r="E264" t="s">
        <v>19</v>
      </c>
      <c r="F264" t="s">
        <v>21</v>
      </c>
      <c r="G264" t="s">
        <v>26</v>
      </c>
      <c r="H264">
        <v>18</v>
      </c>
      <c r="I264">
        <v>107924</v>
      </c>
      <c r="J264" t="s">
        <v>29</v>
      </c>
      <c r="K264" t="s">
        <v>30</v>
      </c>
      <c r="L264" t="s">
        <v>35</v>
      </c>
      <c r="M264">
        <v>4</v>
      </c>
    </row>
    <row r="265" spans="1:13" x14ac:dyDescent="0.3">
      <c r="A265">
        <v>100264</v>
      </c>
      <c r="B265">
        <v>48</v>
      </c>
      <c r="C265" t="str">
        <f t="shared" si="4"/>
        <v>41-60</v>
      </c>
      <c r="D265" t="s">
        <v>12</v>
      </c>
      <c r="E265" t="s">
        <v>18</v>
      </c>
      <c r="F265" t="s">
        <v>22</v>
      </c>
      <c r="G265" t="s">
        <v>27</v>
      </c>
      <c r="H265">
        <v>16</v>
      </c>
      <c r="I265">
        <v>217766</v>
      </c>
      <c r="J265" t="s">
        <v>28</v>
      </c>
      <c r="K265" t="s">
        <v>30</v>
      </c>
      <c r="L265" t="s">
        <v>33</v>
      </c>
      <c r="M265">
        <v>3</v>
      </c>
    </row>
    <row r="266" spans="1:13" x14ac:dyDescent="0.3">
      <c r="A266">
        <v>100265</v>
      </c>
      <c r="B266">
        <v>80</v>
      </c>
      <c r="C266" t="str">
        <f t="shared" si="4"/>
        <v>60+</v>
      </c>
      <c r="D266" t="s">
        <v>13</v>
      </c>
      <c r="E266" t="s">
        <v>17</v>
      </c>
      <c r="F266" t="s">
        <v>23</v>
      </c>
      <c r="G266" t="s">
        <v>26</v>
      </c>
      <c r="H266">
        <v>7</v>
      </c>
      <c r="I266">
        <v>98452</v>
      </c>
      <c r="J266" t="s">
        <v>28</v>
      </c>
      <c r="K266" t="s">
        <v>8</v>
      </c>
      <c r="L266" t="s">
        <v>32</v>
      </c>
      <c r="M266">
        <v>3</v>
      </c>
    </row>
    <row r="267" spans="1:13" x14ac:dyDescent="0.3">
      <c r="A267">
        <v>100266</v>
      </c>
      <c r="B267">
        <v>3</v>
      </c>
      <c r="C267" t="str">
        <f t="shared" si="4"/>
        <v>0-18</v>
      </c>
      <c r="D267" t="s">
        <v>12</v>
      </c>
      <c r="E267" t="s">
        <v>18</v>
      </c>
      <c r="F267" t="s">
        <v>21</v>
      </c>
      <c r="G267" t="s">
        <v>26</v>
      </c>
      <c r="H267">
        <v>4</v>
      </c>
      <c r="I267">
        <v>89593</v>
      </c>
      <c r="J267" t="s">
        <v>29</v>
      </c>
      <c r="K267" t="s">
        <v>30</v>
      </c>
      <c r="L267" t="s">
        <v>33</v>
      </c>
      <c r="M267">
        <v>2</v>
      </c>
    </row>
    <row r="268" spans="1:13" x14ac:dyDescent="0.3">
      <c r="A268">
        <v>100267</v>
      </c>
      <c r="B268">
        <v>20</v>
      </c>
      <c r="C268" t="str">
        <f t="shared" si="4"/>
        <v>19-40</v>
      </c>
      <c r="D268" t="s">
        <v>12</v>
      </c>
      <c r="E268" t="s">
        <v>14</v>
      </c>
      <c r="F268" t="s">
        <v>24</v>
      </c>
      <c r="G268" t="s">
        <v>25</v>
      </c>
      <c r="H268">
        <v>8</v>
      </c>
      <c r="I268">
        <v>168964</v>
      </c>
      <c r="J268" t="s">
        <v>28</v>
      </c>
      <c r="K268" t="s">
        <v>30</v>
      </c>
      <c r="L268" t="s">
        <v>34</v>
      </c>
      <c r="M268">
        <v>1</v>
      </c>
    </row>
    <row r="269" spans="1:13" x14ac:dyDescent="0.3">
      <c r="A269">
        <v>100268</v>
      </c>
      <c r="B269">
        <v>24</v>
      </c>
      <c r="C269" t="str">
        <f t="shared" si="4"/>
        <v>19-40</v>
      </c>
      <c r="D269" t="s">
        <v>12</v>
      </c>
      <c r="E269" t="s">
        <v>15</v>
      </c>
      <c r="F269" t="s">
        <v>23</v>
      </c>
      <c r="G269" t="s">
        <v>26</v>
      </c>
      <c r="H269">
        <v>13</v>
      </c>
      <c r="I269">
        <v>108975</v>
      </c>
      <c r="J269" t="s">
        <v>28</v>
      </c>
      <c r="K269" t="s">
        <v>31</v>
      </c>
      <c r="L269" t="s">
        <v>32</v>
      </c>
      <c r="M269">
        <v>5</v>
      </c>
    </row>
    <row r="270" spans="1:13" x14ac:dyDescent="0.3">
      <c r="A270">
        <v>100269</v>
      </c>
      <c r="B270">
        <v>54</v>
      </c>
      <c r="C270" t="str">
        <f t="shared" si="4"/>
        <v>41-60</v>
      </c>
      <c r="D270" t="s">
        <v>13</v>
      </c>
      <c r="E270" t="s">
        <v>19</v>
      </c>
      <c r="F270" t="s">
        <v>21</v>
      </c>
      <c r="G270" t="s">
        <v>26</v>
      </c>
      <c r="H270">
        <v>13</v>
      </c>
      <c r="I270">
        <v>79242</v>
      </c>
      <c r="J270" t="s">
        <v>28</v>
      </c>
      <c r="K270" t="s">
        <v>8</v>
      </c>
      <c r="L270" t="s">
        <v>33</v>
      </c>
      <c r="M270">
        <v>5</v>
      </c>
    </row>
    <row r="271" spans="1:13" x14ac:dyDescent="0.3">
      <c r="A271">
        <v>100270</v>
      </c>
      <c r="B271">
        <v>33</v>
      </c>
      <c r="C271" t="str">
        <f t="shared" si="4"/>
        <v>19-40</v>
      </c>
      <c r="D271" t="s">
        <v>13</v>
      </c>
      <c r="E271" t="s">
        <v>18</v>
      </c>
      <c r="F271" t="s">
        <v>24</v>
      </c>
      <c r="G271" t="s">
        <v>26</v>
      </c>
      <c r="H271">
        <v>17</v>
      </c>
      <c r="I271">
        <v>118041</v>
      </c>
      <c r="J271" t="s">
        <v>29</v>
      </c>
      <c r="K271" t="s">
        <v>30</v>
      </c>
      <c r="L271" t="s">
        <v>35</v>
      </c>
      <c r="M271">
        <v>1</v>
      </c>
    </row>
    <row r="272" spans="1:13" x14ac:dyDescent="0.3">
      <c r="A272">
        <v>100271</v>
      </c>
      <c r="B272">
        <v>24</v>
      </c>
      <c r="C272" t="str">
        <f t="shared" si="4"/>
        <v>19-40</v>
      </c>
      <c r="D272" t="s">
        <v>13</v>
      </c>
      <c r="E272" t="s">
        <v>15</v>
      </c>
      <c r="F272" t="s">
        <v>22</v>
      </c>
      <c r="G272" t="s">
        <v>26</v>
      </c>
      <c r="H272">
        <v>17</v>
      </c>
      <c r="I272">
        <v>128202</v>
      </c>
      <c r="J272" t="s">
        <v>28</v>
      </c>
      <c r="K272" t="s">
        <v>31</v>
      </c>
      <c r="L272" t="s">
        <v>32</v>
      </c>
      <c r="M272">
        <v>2</v>
      </c>
    </row>
    <row r="273" spans="1:13" x14ac:dyDescent="0.3">
      <c r="A273">
        <v>100272</v>
      </c>
      <c r="B273">
        <v>75</v>
      </c>
      <c r="C273" t="str">
        <f t="shared" si="4"/>
        <v>60+</v>
      </c>
      <c r="D273" t="s">
        <v>12</v>
      </c>
      <c r="E273" t="s">
        <v>14</v>
      </c>
      <c r="F273" t="s">
        <v>21</v>
      </c>
      <c r="G273" t="s">
        <v>27</v>
      </c>
      <c r="H273">
        <v>5</v>
      </c>
      <c r="I273">
        <v>79606</v>
      </c>
      <c r="J273" t="s">
        <v>28</v>
      </c>
      <c r="K273" t="s">
        <v>8</v>
      </c>
      <c r="L273" t="s">
        <v>35</v>
      </c>
      <c r="M273">
        <v>1</v>
      </c>
    </row>
    <row r="274" spans="1:13" x14ac:dyDescent="0.3">
      <c r="A274">
        <v>100273</v>
      </c>
      <c r="B274">
        <v>72</v>
      </c>
      <c r="C274" t="str">
        <f t="shared" si="4"/>
        <v>60+</v>
      </c>
      <c r="D274" t="s">
        <v>12</v>
      </c>
      <c r="E274" t="s">
        <v>16</v>
      </c>
      <c r="F274" t="s">
        <v>24</v>
      </c>
      <c r="G274" t="s">
        <v>25</v>
      </c>
      <c r="H274">
        <v>6</v>
      </c>
      <c r="I274">
        <v>125769</v>
      </c>
      <c r="J274" t="s">
        <v>29</v>
      </c>
      <c r="K274" t="s">
        <v>8</v>
      </c>
      <c r="L274" t="s">
        <v>34</v>
      </c>
      <c r="M274">
        <v>1</v>
      </c>
    </row>
    <row r="275" spans="1:13" x14ac:dyDescent="0.3">
      <c r="A275">
        <v>100274</v>
      </c>
      <c r="B275">
        <v>36</v>
      </c>
      <c r="C275" t="str">
        <f t="shared" si="4"/>
        <v>19-40</v>
      </c>
      <c r="D275" t="s">
        <v>12</v>
      </c>
      <c r="E275" t="s">
        <v>17</v>
      </c>
      <c r="F275" t="s">
        <v>22</v>
      </c>
      <c r="G275" t="s">
        <v>25</v>
      </c>
      <c r="H275">
        <v>19</v>
      </c>
      <c r="I275">
        <v>120542</v>
      </c>
      <c r="J275" t="s">
        <v>29</v>
      </c>
      <c r="K275" t="s">
        <v>8</v>
      </c>
      <c r="L275" t="s">
        <v>33</v>
      </c>
      <c r="M275">
        <v>5</v>
      </c>
    </row>
    <row r="276" spans="1:13" x14ac:dyDescent="0.3">
      <c r="A276">
        <v>100275</v>
      </c>
      <c r="B276">
        <v>38</v>
      </c>
      <c r="C276" t="str">
        <f t="shared" si="4"/>
        <v>19-40</v>
      </c>
      <c r="D276" t="s">
        <v>13</v>
      </c>
      <c r="E276" t="s">
        <v>15</v>
      </c>
      <c r="F276" t="s">
        <v>23</v>
      </c>
      <c r="G276" t="s">
        <v>27</v>
      </c>
      <c r="H276">
        <v>13</v>
      </c>
      <c r="I276">
        <v>108438</v>
      </c>
      <c r="J276" t="s">
        <v>29</v>
      </c>
      <c r="K276" t="s">
        <v>8</v>
      </c>
      <c r="L276" t="s">
        <v>35</v>
      </c>
      <c r="M276">
        <v>2</v>
      </c>
    </row>
    <row r="277" spans="1:13" x14ac:dyDescent="0.3">
      <c r="A277">
        <v>100276</v>
      </c>
      <c r="B277">
        <v>84</v>
      </c>
      <c r="C277" t="str">
        <f t="shared" si="4"/>
        <v>60+</v>
      </c>
      <c r="D277" t="s">
        <v>13</v>
      </c>
      <c r="E277" t="s">
        <v>15</v>
      </c>
      <c r="F277" t="s">
        <v>23</v>
      </c>
      <c r="G277" t="s">
        <v>26</v>
      </c>
      <c r="H277">
        <v>14</v>
      </c>
      <c r="I277">
        <v>2924</v>
      </c>
      <c r="J277" t="s">
        <v>29</v>
      </c>
      <c r="K277" t="s">
        <v>8</v>
      </c>
      <c r="L277" t="s">
        <v>34</v>
      </c>
      <c r="M277">
        <v>3</v>
      </c>
    </row>
    <row r="278" spans="1:13" x14ac:dyDescent="0.3">
      <c r="A278">
        <v>100277</v>
      </c>
      <c r="B278">
        <v>89</v>
      </c>
      <c r="C278" t="str">
        <f t="shared" si="4"/>
        <v>60+</v>
      </c>
      <c r="D278" t="s">
        <v>12</v>
      </c>
      <c r="E278" t="s">
        <v>16</v>
      </c>
      <c r="F278" t="s">
        <v>23</v>
      </c>
      <c r="G278" t="s">
        <v>27</v>
      </c>
      <c r="H278">
        <v>4</v>
      </c>
      <c r="I278">
        <v>53322</v>
      </c>
      <c r="J278" t="s">
        <v>29</v>
      </c>
      <c r="K278" t="s">
        <v>8</v>
      </c>
      <c r="L278" t="s">
        <v>33</v>
      </c>
      <c r="M278">
        <v>5</v>
      </c>
    </row>
    <row r="279" spans="1:13" x14ac:dyDescent="0.3">
      <c r="A279">
        <v>100278</v>
      </c>
      <c r="B279">
        <v>25</v>
      </c>
      <c r="C279" t="str">
        <f t="shared" si="4"/>
        <v>19-40</v>
      </c>
      <c r="D279" t="s">
        <v>13</v>
      </c>
      <c r="E279" t="s">
        <v>15</v>
      </c>
      <c r="F279" t="s">
        <v>23</v>
      </c>
      <c r="G279" t="s">
        <v>26</v>
      </c>
      <c r="H279">
        <v>7</v>
      </c>
      <c r="I279">
        <v>159550</v>
      </c>
      <c r="J279" t="s">
        <v>28</v>
      </c>
      <c r="K279" t="s">
        <v>30</v>
      </c>
      <c r="L279" t="s">
        <v>34</v>
      </c>
      <c r="M279">
        <v>3</v>
      </c>
    </row>
    <row r="280" spans="1:13" x14ac:dyDescent="0.3">
      <c r="A280">
        <v>100279</v>
      </c>
      <c r="B280">
        <v>18</v>
      </c>
      <c r="C280" t="str">
        <f t="shared" si="4"/>
        <v>0-18</v>
      </c>
      <c r="D280" t="s">
        <v>13</v>
      </c>
      <c r="E280" t="s">
        <v>14</v>
      </c>
      <c r="F280" t="s">
        <v>20</v>
      </c>
      <c r="G280" t="s">
        <v>27</v>
      </c>
      <c r="H280">
        <v>8</v>
      </c>
      <c r="I280">
        <v>73042</v>
      </c>
      <c r="J280" t="s">
        <v>28</v>
      </c>
      <c r="K280" t="s">
        <v>30</v>
      </c>
      <c r="L280" t="s">
        <v>35</v>
      </c>
      <c r="M280">
        <v>2</v>
      </c>
    </row>
    <row r="281" spans="1:13" x14ac:dyDescent="0.3">
      <c r="A281">
        <v>100280</v>
      </c>
      <c r="B281">
        <v>82</v>
      </c>
      <c r="C281" t="str">
        <f t="shared" si="4"/>
        <v>60+</v>
      </c>
      <c r="D281" t="s">
        <v>13</v>
      </c>
      <c r="E281" t="s">
        <v>14</v>
      </c>
      <c r="F281" t="s">
        <v>21</v>
      </c>
      <c r="G281" t="s">
        <v>25</v>
      </c>
      <c r="H281">
        <v>13</v>
      </c>
      <c r="I281">
        <v>48418</v>
      </c>
      <c r="J281" t="s">
        <v>28</v>
      </c>
      <c r="K281" t="s">
        <v>30</v>
      </c>
      <c r="L281" t="s">
        <v>34</v>
      </c>
      <c r="M281">
        <v>1</v>
      </c>
    </row>
    <row r="282" spans="1:13" x14ac:dyDescent="0.3">
      <c r="A282">
        <v>100281</v>
      </c>
      <c r="B282">
        <v>66</v>
      </c>
      <c r="C282" t="str">
        <f t="shared" si="4"/>
        <v>60+</v>
      </c>
      <c r="D282" t="s">
        <v>13</v>
      </c>
      <c r="E282" t="s">
        <v>16</v>
      </c>
      <c r="F282" t="s">
        <v>21</v>
      </c>
      <c r="G282" t="s">
        <v>25</v>
      </c>
      <c r="H282">
        <v>6</v>
      </c>
      <c r="I282">
        <v>195289</v>
      </c>
      <c r="J282" t="s">
        <v>29</v>
      </c>
      <c r="K282" t="s">
        <v>30</v>
      </c>
      <c r="L282" t="s">
        <v>32</v>
      </c>
      <c r="M282">
        <v>4</v>
      </c>
    </row>
    <row r="283" spans="1:13" x14ac:dyDescent="0.3">
      <c r="A283">
        <v>100282</v>
      </c>
      <c r="B283">
        <v>54</v>
      </c>
      <c r="C283" t="str">
        <f t="shared" si="4"/>
        <v>41-60</v>
      </c>
      <c r="D283" t="s">
        <v>12</v>
      </c>
      <c r="E283" t="s">
        <v>17</v>
      </c>
      <c r="F283" t="s">
        <v>20</v>
      </c>
      <c r="G283" t="s">
        <v>25</v>
      </c>
      <c r="H283">
        <v>6</v>
      </c>
      <c r="I283">
        <v>102699</v>
      </c>
      <c r="J283" t="s">
        <v>28</v>
      </c>
      <c r="K283" t="s">
        <v>31</v>
      </c>
      <c r="L283" t="s">
        <v>33</v>
      </c>
      <c r="M283">
        <v>4</v>
      </c>
    </row>
    <row r="284" spans="1:13" x14ac:dyDescent="0.3">
      <c r="A284">
        <v>100283</v>
      </c>
      <c r="B284">
        <v>35</v>
      </c>
      <c r="C284" t="str">
        <f t="shared" si="4"/>
        <v>19-40</v>
      </c>
      <c r="D284" t="s">
        <v>13</v>
      </c>
      <c r="E284" t="s">
        <v>19</v>
      </c>
      <c r="F284" t="s">
        <v>24</v>
      </c>
      <c r="G284" t="s">
        <v>26</v>
      </c>
      <c r="H284">
        <v>3</v>
      </c>
      <c r="I284">
        <v>92140</v>
      </c>
      <c r="J284" t="s">
        <v>29</v>
      </c>
      <c r="K284" t="s">
        <v>30</v>
      </c>
      <c r="L284" t="s">
        <v>34</v>
      </c>
      <c r="M284">
        <v>2</v>
      </c>
    </row>
    <row r="285" spans="1:13" x14ac:dyDescent="0.3">
      <c r="A285">
        <v>100284</v>
      </c>
      <c r="B285">
        <v>80</v>
      </c>
      <c r="C285" t="str">
        <f t="shared" si="4"/>
        <v>60+</v>
      </c>
      <c r="D285" t="s">
        <v>13</v>
      </c>
      <c r="E285" t="s">
        <v>18</v>
      </c>
      <c r="F285" t="s">
        <v>24</v>
      </c>
      <c r="G285" t="s">
        <v>26</v>
      </c>
      <c r="H285">
        <v>3</v>
      </c>
      <c r="I285">
        <v>213918</v>
      </c>
      <c r="J285" t="s">
        <v>29</v>
      </c>
      <c r="K285" t="s">
        <v>8</v>
      </c>
      <c r="L285" t="s">
        <v>35</v>
      </c>
      <c r="M285">
        <v>4</v>
      </c>
    </row>
    <row r="286" spans="1:13" x14ac:dyDescent="0.3">
      <c r="A286">
        <v>100285</v>
      </c>
      <c r="B286">
        <v>61</v>
      </c>
      <c r="C286" t="str">
        <f t="shared" si="4"/>
        <v>60+</v>
      </c>
      <c r="D286" t="s">
        <v>13</v>
      </c>
      <c r="E286" t="s">
        <v>19</v>
      </c>
      <c r="F286" t="s">
        <v>23</v>
      </c>
      <c r="G286" t="s">
        <v>27</v>
      </c>
      <c r="H286">
        <v>13</v>
      </c>
      <c r="I286">
        <v>206834</v>
      </c>
      <c r="J286" t="s">
        <v>28</v>
      </c>
      <c r="K286" t="s">
        <v>30</v>
      </c>
      <c r="L286" t="s">
        <v>33</v>
      </c>
      <c r="M286">
        <v>3</v>
      </c>
    </row>
    <row r="287" spans="1:13" x14ac:dyDescent="0.3">
      <c r="A287">
        <v>100286</v>
      </c>
      <c r="B287">
        <v>41</v>
      </c>
      <c r="C287" t="str">
        <f t="shared" si="4"/>
        <v>41-60</v>
      </c>
      <c r="D287" t="s">
        <v>13</v>
      </c>
      <c r="E287" t="s">
        <v>15</v>
      </c>
      <c r="F287" t="s">
        <v>22</v>
      </c>
      <c r="G287" t="s">
        <v>27</v>
      </c>
      <c r="H287">
        <v>2</v>
      </c>
      <c r="I287">
        <v>13781</v>
      </c>
      <c r="J287" t="s">
        <v>29</v>
      </c>
      <c r="K287" t="s">
        <v>30</v>
      </c>
      <c r="L287" t="s">
        <v>32</v>
      </c>
      <c r="M287">
        <v>4</v>
      </c>
    </row>
    <row r="288" spans="1:13" x14ac:dyDescent="0.3">
      <c r="A288">
        <v>100287</v>
      </c>
      <c r="B288">
        <v>33</v>
      </c>
      <c r="C288" t="str">
        <f t="shared" si="4"/>
        <v>19-40</v>
      </c>
      <c r="D288" t="s">
        <v>12</v>
      </c>
      <c r="E288" t="s">
        <v>18</v>
      </c>
      <c r="F288" t="s">
        <v>24</v>
      </c>
      <c r="G288" t="s">
        <v>25</v>
      </c>
      <c r="H288">
        <v>16</v>
      </c>
      <c r="I288">
        <v>138587</v>
      </c>
      <c r="J288" t="s">
        <v>29</v>
      </c>
      <c r="K288" t="s">
        <v>8</v>
      </c>
      <c r="L288" t="s">
        <v>33</v>
      </c>
      <c r="M288">
        <v>2</v>
      </c>
    </row>
    <row r="289" spans="1:13" x14ac:dyDescent="0.3">
      <c r="A289">
        <v>100288</v>
      </c>
      <c r="B289">
        <v>68</v>
      </c>
      <c r="C289" t="str">
        <f t="shared" si="4"/>
        <v>60+</v>
      </c>
      <c r="D289" t="s">
        <v>12</v>
      </c>
      <c r="E289" t="s">
        <v>16</v>
      </c>
      <c r="F289" t="s">
        <v>22</v>
      </c>
      <c r="G289" t="s">
        <v>26</v>
      </c>
      <c r="H289">
        <v>6</v>
      </c>
      <c r="I289">
        <v>119358</v>
      </c>
      <c r="J289" t="s">
        <v>28</v>
      </c>
      <c r="K289" t="s">
        <v>30</v>
      </c>
      <c r="L289" t="s">
        <v>32</v>
      </c>
      <c r="M289">
        <v>2</v>
      </c>
    </row>
    <row r="290" spans="1:13" x14ac:dyDescent="0.3">
      <c r="A290">
        <v>100289</v>
      </c>
      <c r="B290">
        <v>33</v>
      </c>
      <c r="C290" t="str">
        <f t="shared" si="4"/>
        <v>19-40</v>
      </c>
      <c r="D290" t="s">
        <v>13</v>
      </c>
      <c r="E290" t="s">
        <v>16</v>
      </c>
      <c r="F290" t="s">
        <v>21</v>
      </c>
      <c r="G290" t="s">
        <v>27</v>
      </c>
      <c r="H290">
        <v>8</v>
      </c>
      <c r="I290">
        <v>38133</v>
      </c>
      <c r="J290" t="s">
        <v>29</v>
      </c>
      <c r="K290" t="s">
        <v>30</v>
      </c>
      <c r="L290" t="s">
        <v>33</v>
      </c>
      <c r="M290">
        <v>3</v>
      </c>
    </row>
    <row r="291" spans="1:13" x14ac:dyDescent="0.3">
      <c r="A291">
        <v>100290</v>
      </c>
      <c r="B291">
        <v>14</v>
      </c>
      <c r="C291" t="str">
        <f t="shared" si="4"/>
        <v>0-18</v>
      </c>
      <c r="D291" t="s">
        <v>13</v>
      </c>
      <c r="E291" t="s">
        <v>17</v>
      </c>
      <c r="F291" t="s">
        <v>22</v>
      </c>
      <c r="G291" t="s">
        <v>26</v>
      </c>
      <c r="H291">
        <v>8</v>
      </c>
      <c r="I291">
        <v>215580</v>
      </c>
      <c r="J291" t="s">
        <v>29</v>
      </c>
      <c r="K291" t="s">
        <v>30</v>
      </c>
      <c r="L291" t="s">
        <v>34</v>
      </c>
      <c r="M291">
        <v>4</v>
      </c>
    </row>
    <row r="292" spans="1:13" x14ac:dyDescent="0.3">
      <c r="A292">
        <v>100291</v>
      </c>
      <c r="B292">
        <v>21</v>
      </c>
      <c r="C292" t="str">
        <f t="shared" si="4"/>
        <v>19-40</v>
      </c>
      <c r="D292" t="s">
        <v>13</v>
      </c>
      <c r="E292" t="s">
        <v>18</v>
      </c>
      <c r="F292" t="s">
        <v>21</v>
      </c>
      <c r="G292" t="s">
        <v>26</v>
      </c>
      <c r="H292">
        <v>6</v>
      </c>
      <c r="I292">
        <v>99628</v>
      </c>
      <c r="J292" t="s">
        <v>28</v>
      </c>
      <c r="K292" t="s">
        <v>31</v>
      </c>
      <c r="L292" t="s">
        <v>34</v>
      </c>
      <c r="M292">
        <v>4</v>
      </c>
    </row>
    <row r="293" spans="1:13" x14ac:dyDescent="0.3">
      <c r="A293">
        <v>100292</v>
      </c>
      <c r="B293">
        <v>48</v>
      </c>
      <c r="C293" t="str">
        <f t="shared" si="4"/>
        <v>41-60</v>
      </c>
      <c r="D293" t="s">
        <v>13</v>
      </c>
      <c r="E293" t="s">
        <v>14</v>
      </c>
      <c r="F293" t="s">
        <v>20</v>
      </c>
      <c r="G293" t="s">
        <v>25</v>
      </c>
      <c r="H293">
        <v>14</v>
      </c>
      <c r="I293">
        <v>78946</v>
      </c>
      <c r="J293" t="s">
        <v>29</v>
      </c>
      <c r="K293" t="s">
        <v>30</v>
      </c>
      <c r="L293" t="s">
        <v>35</v>
      </c>
      <c r="M293">
        <v>1</v>
      </c>
    </row>
    <row r="294" spans="1:13" x14ac:dyDescent="0.3">
      <c r="A294">
        <v>100293</v>
      </c>
      <c r="B294">
        <v>20</v>
      </c>
      <c r="C294" t="str">
        <f t="shared" si="4"/>
        <v>19-40</v>
      </c>
      <c r="D294" t="s">
        <v>13</v>
      </c>
      <c r="E294" t="s">
        <v>18</v>
      </c>
      <c r="F294" t="s">
        <v>20</v>
      </c>
      <c r="G294" t="s">
        <v>25</v>
      </c>
      <c r="H294">
        <v>3</v>
      </c>
      <c r="I294">
        <v>87058</v>
      </c>
      <c r="J294" t="s">
        <v>29</v>
      </c>
      <c r="K294" t="s">
        <v>8</v>
      </c>
      <c r="L294" t="s">
        <v>32</v>
      </c>
      <c r="M294">
        <v>5</v>
      </c>
    </row>
    <row r="295" spans="1:13" x14ac:dyDescent="0.3">
      <c r="A295">
        <v>100294</v>
      </c>
      <c r="B295">
        <v>8</v>
      </c>
      <c r="C295" t="str">
        <f t="shared" si="4"/>
        <v>0-18</v>
      </c>
      <c r="D295" t="s">
        <v>13</v>
      </c>
      <c r="E295" t="s">
        <v>15</v>
      </c>
      <c r="F295" t="s">
        <v>23</v>
      </c>
      <c r="G295" t="s">
        <v>26</v>
      </c>
      <c r="H295">
        <v>10</v>
      </c>
      <c r="I295">
        <v>142167</v>
      </c>
      <c r="J295" t="s">
        <v>28</v>
      </c>
      <c r="K295" t="s">
        <v>8</v>
      </c>
      <c r="L295" t="s">
        <v>35</v>
      </c>
      <c r="M295">
        <v>2</v>
      </c>
    </row>
    <row r="296" spans="1:13" x14ac:dyDescent="0.3">
      <c r="A296">
        <v>100295</v>
      </c>
      <c r="B296">
        <v>7</v>
      </c>
      <c r="C296" t="str">
        <f t="shared" si="4"/>
        <v>0-18</v>
      </c>
      <c r="D296" t="s">
        <v>12</v>
      </c>
      <c r="E296" t="s">
        <v>14</v>
      </c>
      <c r="F296" t="s">
        <v>24</v>
      </c>
      <c r="G296" t="s">
        <v>26</v>
      </c>
      <c r="H296">
        <v>3</v>
      </c>
      <c r="I296">
        <v>221655</v>
      </c>
      <c r="J296" t="s">
        <v>28</v>
      </c>
      <c r="K296" t="s">
        <v>30</v>
      </c>
      <c r="L296" t="s">
        <v>34</v>
      </c>
      <c r="M296">
        <v>1</v>
      </c>
    </row>
    <row r="297" spans="1:13" x14ac:dyDescent="0.3">
      <c r="A297">
        <v>100296</v>
      </c>
      <c r="B297">
        <v>67</v>
      </c>
      <c r="C297" t="str">
        <f t="shared" si="4"/>
        <v>60+</v>
      </c>
      <c r="D297" t="s">
        <v>13</v>
      </c>
      <c r="E297" t="s">
        <v>16</v>
      </c>
      <c r="F297" t="s">
        <v>23</v>
      </c>
      <c r="G297" t="s">
        <v>26</v>
      </c>
      <c r="H297">
        <v>12</v>
      </c>
      <c r="I297">
        <v>153542</v>
      </c>
      <c r="J297" t="s">
        <v>28</v>
      </c>
      <c r="K297" t="s">
        <v>30</v>
      </c>
      <c r="L297" t="s">
        <v>32</v>
      </c>
      <c r="M297">
        <v>2</v>
      </c>
    </row>
    <row r="298" spans="1:13" x14ac:dyDescent="0.3">
      <c r="A298">
        <v>100297</v>
      </c>
      <c r="B298">
        <v>17</v>
      </c>
      <c r="C298" t="str">
        <f t="shared" si="4"/>
        <v>0-18</v>
      </c>
      <c r="D298" t="s">
        <v>12</v>
      </c>
      <c r="E298" t="s">
        <v>18</v>
      </c>
      <c r="F298" t="s">
        <v>21</v>
      </c>
      <c r="G298" t="s">
        <v>26</v>
      </c>
      <c r="H298">
        <v>17</v>
      </c>
      <c r="I298">
        <v>45129</v>
      </c>
      <c r="J298" t="s">
        <v>28</v>
      </c>
      <c r="K298" t="s">
        <v>30</v>
      </c>
      <c r="L298" t="s">
        <v>35</v>
      </c>
      <c r="M298">
        <v>1</v>
      </c>
    </row>
    <row r="299" spans="1:13" x14ac:dyDescent="0.3">
      <c r="A299">
        <v>100298</v>
      </c>
      <c r="B299">
        <v>33</v>
      </c>
      <c r="C299" t="str">
        <f t="shared" si="4"/>
        <v>19-40</v>
      </c>
      <c r="D299" t="s">
        <v>12</v>
      </c>
      <c r="E299" t="s">
        <v>19</v>
      </c>
      <c r="F299" t="s">
        <v>23</v>
      </c>
      <c r="G299" t="s">
        <v>25</v>
      </c>
      <c r="H299">
        <v>5</v>
      </c>
      <c r="I299">
        <v>10531</v>
      </c>
      <c r="J299" t="s">
        <v>29</v>
      </c>
      <c r="K299" t="s">
        <v>8</v>
      </c>
      <c r="L299" t="s">
        <v>35</v>
      </c>
      <c r="M299">
        <v>5</v>
      </c>
    </row>
    <row r="300" spans="1:13" x14ac:dyDescent="0.3">
      <c r="A300">
        <v>100299</v>
      </c>
      <c r="B300">
        <v>48</v>
      </c>
      <c r="C300" t="str">
        <f t="shared" si="4"/>
        <v>41-60</v>
      </c>
      <c r="D300" t="s">
        <v>13</v>
      </c>
      <c r="E300" t="s">
        <v>17</v>
      </c>
      <c r="F300" t="s">
        <v>22</v>
      </c>
      <c r="G300" t="s">
        <v>27</v>
      </c>
      <c r="H300">
        <v>9</v>
      </c>
      <c r="I300">
        <v>39038</v>
      </c>
      <c r="J300" t="s">
        <v>29</v>
      </c>
      <c r="K300" t="s">
        <v>8</v>
      </c>
      <c r="L300" t="s">
        <v>35</v>
      </c>
      <c r="M300">
        <v>1</v>
      </c>
    </row>
    <row r="301" spans="1:13" x14ac:dyDescent="0.3">
      <c r="A301">
        <v>100300</v>
      </c>
      <c r="B301">
        <v>76</v>
      </c>
      <c r="C301" t="str">
        <f t="shared" si="4"/>
        <v>60+</v>
      </c>
      <c r="D301" t="s">
        <v>12</v>
      </c>
      <c r="E301" t="s">
        <v>19</v>
      </c>
      <c r="F301" t="s">
        <v>21</v>
      </c>
      <c r="G301" t="s">
        <v>25</v>
      </c>
      <c r="H301">
        <v>7</v>
      </c>
      <c r="I301">
        <v>89939</v>
      </c>
      <c r="J301" t="s">
        <v>28</v>
      </c>
      <c r="K301" t="s">
        <v>31</v>
      </c>
      <c r="L301" t="s">
        <v>35</v>
      </c>
      <c r="M301">
        <v>2</v>
      </c>
    </row>
    <row r="302" spans="1:13" x14ac:dyDescent="0.3">
      <c r="A302">
        <v>100301</v>
      </c>
      <c r="B302">
        <v>59</v>
      </c>
      <c r="C302" t="str">
        <f t="shared" si="4"/>
        <v>41-60</v>
      </c>
      <c r="D302" t="s">
        <v>12</v>
      </c>
      <c r="E302" t="s">
        <v>17</v>
      </c>
      <c r="F302" t="s">
        <v>20</v>
      </c>
      <c r="G302" t="s">
        <v>27</v>
      </c>
      <c r="H302">
        <v>4</v>
      </c>
      <c r="I302">
        <v>44674</v>
      </c>
      <c r="J302" t="s">
        <v>29</v>
      </c>
      <c r="K302" t="s">
        <v>31</v>
      </c>
      <c r="L302" t="s">
        <v>35</v>
      </c>
      <c r="M302">
        <v>4</v>
      </c>
    </row>
    <row r="303" spans="1:13" x14ac:dyDescent="0.3">
      <c r="A303">
        <v>100302</v>
      </c>
      <c r="B303">
        <v>86</v>
      </c>
      <c r="C303" t="str">
        <f t="shared" si="4"/>
        <v>60+</v>
      </c>
      <c r="D303" t="s">
        <v>12</v>
      </c>
      <c r="E303" t="s">
        <v>15</v>
      </c>
      <c r="F303" t="s">
        <v>24</v>
      </c>
      <c r="G303" t="s">
        <v>26</v>
      </c>
      <c r="H303">
        <v>13</v>
      </c>
      <c r="I303">
        <v>129572</v>
      </c>
      <c r="J303" t="s">
        <v>29</v>
      </c>
      <c r="K303" t="s">
        <v>31</v>
      </c>
      <c r="L303" t="s">
        <v>32</v>
      </c>
      <c r="M303">
        <v>2</v>
      </c>
    </row>
    <row r="304" spans="1:13" x14ac:dyDescent="0.3">
      <c r="A304">
        <v>100303</v>
      </c>
      <c r="B304">
        <v>22</v>
      </c>
      <c r="C304" t="str">
        <f t="shared" si="4"/>
        <v>19-40</v>
      </c>
      <c r="D304" t="s">
        <v>12</v>
      </c>
      <c r="E304" t="s">
        <v>19</v>
      </c>
      <c r="F304" t="s">
        <v>21</v>
      </c>
      <c r="G304" t="s">
        <v>27</v>
      </c>
      <c r="H304">
        <v>13</v>
      </c>
      <c r="I304">
        <v>227730</v>
      </c>
      <c r="J304" t="s">
        <v>28</v>
      </c>
      <c r="K304" t="s">
        <v>8</v>
      </c>
      <c r="L304" t="s">
        <v>35</v>
      </c>
      <c r="M304">
        <v>3</v>
      </c>
    </row>
    <row r="305" spans="1:13" x14ac:dyDescent="0.3">
      <c r="A305">
        <v>100304</v>
      </c>
      <c r="B305">
        <v>30</v>
      </c>
      <c r="C305" t="str">
        <f t="shared" si="4"/>
        <v>19-40</v>
      </c>
      <c r="D305" t="s">
        <v>12</v>
      </c>
      <c r="E305" t="s">
        <v>18</v>
      </c>
      <c r="F305" t="s">
        <v>21</v>
      </c>
      <c r="G305" t="s">
        <v>25</v>
      </c>
      <c r="H305">
        <v>10</v>
      </c>
      <c r="I305">
        <v>215548</v>
      </c>
      <c r="J305" t="s">
        <v>28</v>
      </c>
      <c r="K305" t="s">
        <v>31</v>
      </c>
      <c r="L305" t="s">
        <v>32</v>
      </c>
      <c r="M305">
        <v>3</v>
      </c>
    </row>
    <row r="306" spans="1:13" x14ac:dyDescent="0.3">
      <c r="A306">
        <v>100305</v>
      </c>
      <c r="B306">
        <v>38</v>
      </c>
      <c r="C306" t="str">
        <f t="shared" si="4"/>
        <v>19-40</v>
      </c>
      <c r="D306" t="s">
        <v>12</v>
      </c>
      <c r="E306" t="s">
        <v>18</v>
      </c>
      <c r="F306" t="s">
        <v>22</v>
      </c>
      <c r="G306" t="s">
        <v>25</v>
      </c>
      <c r="H306">
        <v>18</v>
      </c>
      <c r="I306">
        <v>31831</v>
      </c>
      <c r="J306" t="s">
        <v>29</v>
      </c>
      <c r="K306" t="s">
        <v>30</v>
      </c>
      <c r="L306" t="s">
        <v>35</v>
      </c>
      <c r="M306">
        <v>3</v>
      </c>
    </row>
    <row r="307" spans="1:13" x14ac:dyDescent="0.3">
      <c r="A307">
        <v>100306</v>
      </c>
      <c r="B307">
        <v>51</v>
      </c>
      <c r="C307" t="str">
        <f t="shared" si="4"/>
        <v>41-60</v>
      </c>
      <c r="D307" t="s">
        <v>13</v>
      </c>
      <c r="E307" t="s">
        <v>19</v>
      </c>
      <c r="F307" t="s">
        <v>24</v>
      </c>
      <c r="G307" t="s">
        <v>26</v>
      </c>
      <c r="H307">
        <v>17</v>
      </c>
      <c r="I307">
        <v>59174</v>
      </c>
      <c r="J307" t="s">
        <v>28</v>
      </c>
      <c r="K307" t="s">
        <v>30</v>
      </c>
      <c r="L307" t="s">
        <v>34</v>
      </c>
      <c r="M307">
        <v>3</v>
      </c>
    </row>
    <row r="308" spans="1:13" x14ac:dyDescent="0.3">
      <c r="A308">
        <v>100307</v>
      </c>
      <c r="B308">
        <v>54</v>
      </c>
      <c r="C308" t="str">
        <f t="shared" si="4"/>
        <v>41-60</v>
      </c>
      <c r="D308" t="s">
        <v>12</v>
      </c>
      <c r="E308" t="s">
        <v>18</v>
      </c>
      <c r="F308" t="s">
        <v>20</v>
      </c>
      <c r="G308" t="s">
        <v>25</v>
      </c>
      <c r="H308">
        <v>13</v>
      </c>
      <c r="I308">
        <v>13279</v>
      </c>
      <c r="J308" t="s">
        <v>28</v>
      </c>
      <c r="K308" t="s">
        <v>8</v>
      </c>
      <c r="L308" t="s">
        <v>34</v>
      </c>
      <c r="M308">
        <v>5</v>
      </c>
    </row>
    <row r="309" spans="1:13" x14ac:dyDescent="0.3">
      <c r="A309">
        <v>100308</v>
      </c>
      <c r="B309">
        <v>8</v>
      </c>
      <c r="C309" t="str">
        <f t="shared" si="4"/>
        <v>0-18</v>
      </c>
      <c r="D309" t="s">
        <v>12</v>
      </c>
      <c r="E309" t="s">
        <v>15</v>
      </c>
      <c r="F309" t="s">
        <v>21</v>
      </c>
      <c r="G309" t="s">
        <v>26</v>
      </c>
      <c r="H309">
        <v>17</v>
      </c>
      <c r="I309">
        <v>171292</v>
      </c>
      <c r="J309" t="s">
        <v>28</v>
      </c>
      <c r="K309" t="s">
        <v>31</v>
      </c>
      <c r="L309" t="s">
        <v>35</v>
      </c>
      <c r="M309">
        <v>4</v>
      </c>
    </row>
    <row r="310" spans="1:13" x14ac:dyDescent="0.3">
      <c r="A310">
        <v>100309</v>
      </c>
      <c r="B310">
        <v>27</v>
      </c>
      <c r="C310" t="str">
        <f t="shared" si="4"/>
        <v>19-40</v>
      </c>
      <c r="D310" t="s">
        <v>12</v>
      </c>
      <c r="E310" t="s">
        <v>14</v>
      </c>
      <c r="F310" t="s">
        <v>21</v>
      </c>
      <c r="G310" t="s">
        <v>25</v>
      </c>
      <c r="H310">
        <v>4</v>
      </c>
      <c r="I310">
        <v>62610</v>
      </c>
      <c r="J310" t="s">
        <v>29</v>
      </c>
      <c r="K310" t="s">
        <v>30</v>
      </c>
      <c r="L310" t="s">
        <v>33</v>
      </c>
      <c r="M310">
        <v>4</v>
      </c>
    </row>
    <row r="311" spans="1:13" x14ac:dyDescent="0.3">
      <c r="A311">
        <v>100310</v>
      </c>
      <c r="B311">
        <v>27</v>
      </c>
      <c r="C311" t="str">
        <f t="shared" si="4"/>
        <v>19-40</v>
      </c>
      <c r="D311" t="s">
        <v>13</v>
      </c>
      <c r="E311" t="s">
        <v>15</v>
      </c>
      <c r="F311" t="s">
        <v>22</v>
      </c>
      <c r="G311" t="s">
        <v>25</v>
      </c>
      <c r="H311">
        <v>1</v>
      </c>
      <c r="I311">
        <v>185791</v>
      </c>
      <c r="J311" t="s">
        <v>28</v>
      </c>
      <c r="K311" t="s">
        <v>8</v>
      </c>
      <c r="L311" t="s">
        <v>34</v>
      </c>
      <c r="M311">
        <v>2</v>
      </c>
    </row>
    <row r="312" spans="1:13" x14ac:dyDescent="0.3">
      <c r="A312">
        <v>100311</v>
      </c>
      <c r="B312">
        <v>21</v>
      </c>
      <c r="C312" t="str">
        <f t="shared" si="4"/>
        <v>19-40</v>
      </c>
      <c r="D312" t="s">
        <v>12</v>
      </c>
      <c r="E312" t="s">
        <v>17</v>
      </c>
      <c r="F312" t="s">
        <v>23</v>
      </c>
      <c r="G312" t="s">
        <v>26</v>
      </c>
      <c r="H312">
        <v>1</v>
      </c>
      <c r="I312">
        <v>55051</v>
      </c>
      <c r="J312" t="s">
        <v>29</v>
      </c>
      <c r="K312" t="s">
        <v>31</v>
      </c>
      <c r="L312" t="s">
        <v>32</v>
      </c>
      <c r="M312">
        <v>1</v>
      </c>
    </row>
    <row r="313" spans="1:13" x14ac:dyDescent="0.3">
      <c r="A313">
        <v>100312</v>
      </c>
      <c r="B313">
        <v>30</v>
      </c>
      <c r="C313" t="str">
        <f t="shared" si="4"/>
        <v>19-40</v>
      </c>
      <c r="D313" t="s">
        <v>13</v>
      </c>
      <c r="E313" t="s">
        <v>15</v>
      </c>
      <c r="F313" t="s">
        <v>20</v>
      </c>
      <c r="G313" t="s">
        <v>27</v>
      </c>
      <c r="H313">
        <v>15</v>
      </c>
      <c r="I313">
        <v>205085</v>
      </c>
      <c r="J313" t="s">
        <v>29</v>
      </c>
      <c r="K313" t="s">
        <v>30</v>
      </c>
      <c r="L313" t="s">
        <v>35</v>
      </c>
      <c r="M313">
        <v>2</v>
      </c>
    </row>
    <row r="314" spans="1:13" x14ac:dyDescent="0.3">
      <c r="A314">
        <v>100313</v>
      </c>
      <c r="B314">
        <v>28</v>
      </c>
      <c r="C314" t="str">
        <f t="shared" si="4"/>
        <v>19-40</v>
      </c>
      <c r="D314" t="s">
        <v>12</v>
      </c>
      <c r="E314" t="s">
        <v>17</v>
      </c>
      <c r="F314" t="s">
        <v>24</v>
      </c>
      <c r="G314" t="s">
        <v>25</v>
      </c>
      <c r="H314">
        <v>13</v>
      </c>
      <c r="I314">
        <v>58652</v>
      </c>
      <c r="J314" t="s">
        <v>29</v>
      </c>
      <c r="K314" t="s">
        <v>31</v>
      </c>
      <c r="L314" t="s">
        <v>32</v>
      </c>
      <c r="M314">
        <v>2</v>
      </c>
    </row>
    <row r="315" spans="1:13" x14ac:dyDescent="0.3">
      <c r="A315">
        <v>100314</v>
      </c>
      <c r="B315">
        <v>64</v>
      </c>
      <c r="C315" t="str">
        <f t="shared" si="4"/>
        <v>60+</v>
      </c>
      <c r="D315" t="s">
        <v>13</v>
      </c>
      <c r="E315" t="s">
        <v>18</v>
      </c>
      <c r="F315" t="s">
        <v>21</v>
      </c>
      <c r="G315" t="s">
        <v>27</v>
      </c>
      <c r="H315">
        <v>17</v>
      </c>
      <c r="I315">
        <v>67524</v>
      </c>
      <c r="J315" t="s">
        <v>28</v>
      </c>
      <c r="K315" t="s">
        <v>8</v>
      </c>
      <c r="L315" t="s">
        <v>33</v>
      </c>
      <c r="M315">
        <v>2</v>
      </c>
    </row>
    <row r="316" spans="1:13" x14ac:dyDescent="0.3">
      <c r="A316">
        <v>100315</v>
      </c>
      <c r="B316">
        <v>69</v>
      </c>
      <c r="C316" t="str">
        <f t="shared" si="4"/>
        <v>60+</v>
      </c>
      <c r="D316" t="s">
        <v>13</v>
      </c>
      <c r="E316" t="s">
        <v>14</v>
      </c>
      <c r="F316" t="s">
        <v>21</v>
      </c>
      <c r="G316" t="s">
        <v>25</v>
      </c>
      <c r="H316">
        <v>8</v>
      </c>
      <c r="I316">
        <v>216008</v>
      </c>
      <c r="J316" t="s">
        <v>28</v>
      </c>
      <c r="K316" t="s">
        <v>31</v>
      </c>
      <c r="L316" t="s">
        <v>35</v>
      </c>
      <c r="M316">
        <v>2</v>
      </c>
    </row>
    <row r="317" spans="1:13" x14ac:dyDescent="0.3">
      <c r="A317">
        <v>100316</v>
      </c>
      <c r="B317">
        <v>61</v>
      </c>
      <c r="C317" t="str">
        <f t="shared" si="4"/>
        <v>60+</v>
      </c>
      <c r="D317" t="s">
        <v>12</v>
      </c>
      <c r="E317" t="s">
        <v>18</v>
      </c>
      <c r="F317" t="s">
        <v>20</v>
      </c>
      <c r="G317" t="s">
        <v>25</v>
      </c>
      <c r="H317">
        <v>18</v>
      </c>
      <c r="I317">
        <v>8470</v>
      </c>
      <c r="J317" t="s">
        <v>28</v>
      </c>
      <c r="K317" t="s">
        <v>8</v>
      </c>
      <c r="L317" t="s">
        <v>34</v>
      </c>
      <c r="M317">
        <v>4</v>
      </c>
    </row>
    <row r="318" spans="1:13" x14ac:dyDescent="0.3">
      <c r="A318">
        <v>100317</v>
      </c>
      <c r="B318">
        <v>48</v>
      </c>
      <c r="C318" t="str">
        <f t="shared" si="4"/>
        <v>41-60</v>
      </c>
      <c r="D318" t="s">
        <v>12</v>
      </c>
      <c r="E318" t="s">
        <v>16</v>
      </c>
      <c r="F318" t="s">
        <v>23</v>
      </c>
      <c r="G318" t="s">
        <v>25</v>
      </c>
      <c r="H318">
        <v>13</v>
      </c>
      <c r="I318">
        <v>200670</v>
      </c>
      <c r="J318" t="s">
        <v>28</v>
      </c>
      <c r="K318" t="s">
        <v>31</v>
      </c>
      <c r="L318" t="s">
        <v>32</v>
      </c>
      <c r="M318">
        <v>1</v>
      </c>
    </row>
    <row r="319" spans="1:13" x14ac:dyDescent="0.3">
      <c r="A319">
        <v>100318</v>
      </c>
      <c r="B319">
        <v>19</v>
      </c>
      <c r="C319" t="str">
        <f t="shared" si="4"/>
        <v>19-40</v>
      </c>
      <c r="D319" t="s">
        <v>13</v>
      </c>
      <c r="E319" t="s">
        <v>18</v>
      </c>
      <c r="F319" t="s">
        <v>21</v>
      </c>
      <c r="G319" t="s">
        <v>25</v>
      </c>
      <c r="H319">
        <v>14</v>
      </c>
      <c r="I319">
        <v>174870</v>
      </c>
      <c r="J319" t="s">
        <v>28</v>
      </c>
      <c r="K319" t="s">
        <v>30</v>
      </c>
      <c r="L319" t="s">
        <v>34</v>
      </c>
      <c r="M319">
        <v>2</v>
      </c>
    </row>
    <row r="320" spans="1:13" x14ac:dyDescent="0.3">
      <c r="A320">
        <v>100319</v>
      </c>
      <c r="B320">
        <v>4</v>
      </c>
      <c r="C320" t="str">
        <f t="shared" si="4"/>
        <v>0-18</v>
      </c>
      <c r="D320" t="s">
        <v>12</v>
      </c>
      <c r="E320" t="s">
        <v>17</v>
      </c>
      <c r="F320" t="s">
        <v>20</v>
      </c>
      <c r="G320" t="s">
        <v>27</v>
      </c>
      <c r="H320">
        <v>8</v>
      </c>
      <c r="I320">
        <v>55473</v>
      </c>
      <c r="J320" t="s">
        <v>29</v>
      </c>
      <c r="K320" t="s">
        <v>8</v>
      </c>
      <c r="L320" t="s">
        <v>34</v>
      </c>
      <c r="M320">
        <v>4</v>
      </c>
    </row>
    <row r="321" spans="1:13" x14ac:dyDescent="0.3">
      <c r="A321">
        <v>100320</v>
      </c>
      <c r="B321">
        <v>35</v>
      </c>
      <c r="C321" t="str">
        <f t="shared" si="4"/>
        <v>19-40</v>
      </c>
      <c r="D321" t="s">
        <v>13</v>
      </c>
      <c r="E321" t="s">
        <v>18</v>
      </c>
      <c r="F321" t="s">
        <v>22</v>
      </c>
      <c r="G321" t="s">
        <v>27</v>
      </c>
      <c r="H321">
        <v>8</v>
      </c>
      <c r="I321">
        <v>152952</v>
      </c>
      <c r="J321" t="s">
        <v>29</v>
      </c>
      <c r="K321" t="s">
        <v>8</v>
      </c>
      <c r="L321" t="s">
        <v>35</v>
      </c>
      <c r="M321">
        <v>2</v>
      </c>
    </row>
    <row r="322" spans="1:13" x14ac:dyDescent="0.3">
      <c r="A322">
        <v>100321</v>
      </c>
      <c r="B322">
        <v>64</v>
      </c>
      <c r="C322" t="str">
        <f t="shared" ref="C322:C385" si="5">IF(B322&lt;=18,"0-18",IF(B322&lt;=40,"19-40",IF(B322&lt;=60,"41-60","60+")))</f>
        <v>60+</v>
      </c>
      <c r="D322" t="s">
        <v>13</v>
      </c>
      <c r="E322" t="s">
        <v>18</v>
      </c>
      <c r="F322" t="s">
        <v>23</v>
      </c>
      <c r="G322" t="s">
        <v>25</v>
      </c>
      <c r="H322">
        <v>15</v>
      </c>
      <c r="I322">
        <v>233189</v>
      </c>
      <c r="J322" t="s">
        <v>29</v>
      </c>
      <c r="K322" t="s">
        <v>8</v>
      </c>
      <c r="L322" t="s">
        <v>32</v>
      </c>
      <c r="M322">
        <v>3</v>
      </c>
    </row>
    <row r="323" spans="1:13" x14ac:dyDescent="0.3">
      <c r="A323">
        <v>100322</v>
      </c>
      <c r="B323">
        <v>49</v>
      </c>
      <c r="C323" t="str">
        <f t="shared" si="5"/>
        <v>41-60</v>
      </c>
      <c r="D323" t="s">
        <v>13</v>
      </c>
      <c r="E323" t="s">
        <v>14</v>
      </c>
      <c r="F323" t="s">
        <v>24</v>
      </c>
      <c r="G323" t="s">
        <v>25</v>
      </c>
      <c r="H323">
        <v>13</v>
      </c>
      <c r="I323">
        <v>46439</v>
      </c>
      <c r="J323" t="s">
        <v>28</v>
      </c>
      <c r="K323" t="s">
        <v>31</v>
      </c>
      <c r="L323" t="s">
        <v>33</v>
      </c>
      <c r="M323">
        <v>2</v>
      </c>
    </row>
    <row r="324" spans="1:13" x14ac:dyDescent="0.3">
      <c r="A324">
        <v>100323</v>
      </c>
      <c r="B324">
        <v>17</v>
      </c>
      <c r="C324" t="str">
        <f t="shared" si="5"/>
        <v>0-18</v>
      </c>
      <c r="D324" t="s">
        <v>13</v>
      </c>
      <c r="E324" t="s">
        <v>18</v>
      </c>
      <c r="F324" t="s">
        <v>21</v>
      </c>
      <c r="G324" t="s">
        <v>27</v>
      </c>
      <c r="H324">
        <v>7</v>
      </c>
      <c r="I324">
        <v>16308</v>
      </c>
      <c r="J324" t="s">
        <v>29</v>
      </c>
      <c r="K324" t="s">
        <v>31</v>
      </c>
      <c r="L324" t="s">
        <v>34</v>
      </c>
      <c r="M324">
        <v>2</v>
      </c>
    </row>
    <row r="325" spans="1:13" x14ac:dyDescent="0.3">
      <c r="A325">
        <v>100324</v>
      </c>
      <c r="B325">
        <v>44</v>
      </c>
      <c r="C325" t="str">
        <f t="shared" si="5"/>
        <v>41-60</v>
      </c>
      <c r="D325" t="s">
        <v>13</v>
      </c>
      <c r="E325" t="s">
        <v>14</v>
      </c>
      <c r="F325" t="s">
        <v>20</v>
      </c>
      <c r="G325" t="s">
        <v>26</v>
      </c>
      <c r="H325">
        <v>5</v>
      </c>
      <c r="I325">
        <v>93563</v>
      </c>
      <c r="J325" t="s">
        <v>29</v>
      </c>
      <c r="K325" t="s">
        <v>30</v>
      </c>
      <c r="L325" t="s">
        <v>35</v>
      </c>
      <c r="M325">
        <v>5</v>
      </c>
    </row>
    <row r="326" spans="1:13" x14ac:dyDescent="0.3">
      <c r="A326">
        <v>100325</v>
      </c>
      <c r="B326">
        <v>30</v>
      </c>
      <c r="C326" t="str">
        <f t="shared" si="5"/>
        <v>19-40</v>
      </c>
      <c r="D326" t="s">
        <v>12</v>
      </c>
      <c r="E326" t="s">
        <v>19</v>
      </c>
      <c r="F326" t="s">
        <v>22</v>
      </c>
      <c r="G326" t="s">
        <v>26</v>
      </c>
      <c r="H326">
        <v>17</v>
      </c>
      <c r="I326">
        <v>229328</v>
      </c>
      <c r="J326" t="s">
        <v>28</v>
      </c>
      <c r="K326" t="s">
        <v>8</v>
      </c>
      <c r="L326" t="s">
        <v>35</v>
      </c>
      <c r="M326">
        <v>3</v>
      </c>
    </row>
    <row r="327" spans="1:13" x14ac:dyDescent="0.3">
      <c r="A327">
        <v>100326</v>
      </c>
      <c r="B327">
        <v>46</v>
      </c>
      <c r="C327" t="str">
        <f t="shared" si="5"/>
        <v>41-60</v>
      </c>
      <c r="D327" t="s">
        <v>13</v>
      </c>
      <c r="E327" t="s">
        <v>16</v>
      </c>
      <c r="F327" t="s">
        <v>24</v>
      </c>
      <c r="G327" t="s">
        <v>27</v>
      </c>
      <c r="H327">
        <v>16</v>
      </c>
      <c r="I327">
        <v>37081</v>
      </c>
      <c r="J327" t="s">
        <v>28</v>
      </c>
      <c r="K327" t="s">
        <v>8</v>
      </c>
      <c r="L327" t="s">
        <v>33</v>
      </c>
      <c r="M327">
        <v>1</v>
      </c>
    </row>
    <row r="328" spans="1:13" x14ac:dyDescent="0.3">
      <c r="A328">
        <v>100327</v>
      </c>
      <c r="B328">
        <v>6</v>
      </c>
      <c r="C328" t="str">
        <f t="shared" si="5"/>
        <v>0-18</v>
      </c>
      <c r="D328" t="s">
        <v>13</v>
      </c>
      <c r="E328" t="s">
        <v>14</v>
      </c>
      <c r="F328" t="s">
        <v>20</v>
      </c>
      <c r="G328" t="s">
        <v>25</v>
      </c>
      <c r="H328">
        <v>2</v>
      </c>
      <c r="I328">
        <v>208314</v>
      </c>
      <c r="J328" t="s">
        <v>29</v>
      </c>
      <c r="K328" t="s">
        <v>31</v>
      </c>
      <c r="L328" t="s">
        <v>35</v>
      </c>
      <c r="M328">
        <v>2</v>
      </c>
    </row>
    <row r="329" spans="1:13" x14ac:dyDescent="0.3">
      <c r="A329">
        <v>100328</v>
      </c>
      <c r="B329">
        <v>37</v>
      </c>
      <c r="C329" t="str">
        <f t="shared" si="5"/>
        <v>19-40</v>
      </c>
      <c r="D329" t="s">
        <v>12</v>
      </c>
      <c r="E329" t="s">
        <v>17</v>
      </c>
      <c r="F329" t="s">
        <v>20</v>
      </c>
      <c r="G329" t="s">
        <v>25</v>
      </c>
      <c r="H329">
        <v>18</v>
      </c>
      <c r="I329">
        <v>183455</v>
      </c>
      <c r="J329" t="s">
        <v>29</v>
      </c>
      <c r="K329" t="s">
        <v>31</v>
      </c>
      <c r="L329" t="s">
        <v>34</v>
      </c>
      <c r="M329">
        <v>1</v>
      </c>
    </row>
    <row r="330" spans="1:13" x14ac:dyDescent="0.3">
      <c r="A330">
        <v>100329</v>
      </c>
      <c r="B330">
        <v>24</v>
      </c>
      <c r="C330" t="str">
        <f t="shared" si="5"/>
        <v>19-40</v>
      </c>
      <c r="D330" t="s">
        <v>13</v>
      </c>
      <c r="E330" t="s">
        <v>19</v>
      </c>
      <c r="F330" t="s">
        <v>24</v>
      </c>
      <c r="G330" t="s">
        <v>26</v>
      </c>
      <c r="H330">
        <v>17</v>
      </c>
      <c r="I330">
        <v>11837</v>
      </c>
      <c r="J330" t="s">
        <v>28</v>
      </c>
      <c r="K330" t="s">
        <v>30</v>
      </c>
      <c r="L330" t="s">
        <v>35</v>
      </c>
      <c r="M330">
        <v>3</v>
      </c>
    </row>
    <row r="331" spans="1:13" x14ac:dyDescent="0.3">
      <c r="A331">
        <v>100330</v>
      </c>
      <c r="B331">
        <v>46</v>
      </c>
      <c r="C331" t="str">
        <f t="shared" si="5"/>
        <v>41-60</v>
      </c>
      <c r="D331" t="s">
        <v>12</v>
      </c>
      <c r="E331" t="s">
        <v>14</v>
      </c>
      <c r="F331" t="s">
        <v>22</v>
      </c>
      <c r="G331" t="s">
        <v>26</v>
      </c>
      <c r="H331">
        <v>7</v>
      </c>
      <c r="I331">
        <v>237207</v>
      </c>
      <c r="J331" t="s">
        <v>28</v>
      </c>
      <c r="K331" t="s">
        <v>30</v>
      </c>
      <c r="L331" t="s">
        <v>32</v>
      </c>
      <c r="M331">
        <v>2</v>
      </c>
    </row>
    <row r="332" spans="1:13" x14ac:dyDescent="0.3">
      <c r="A332">
        <v>100331</v>
      </c>
      <c r="B332">
        <v>53</v>
      </c>
      <c r="C332" t="str">
        <f t="shared" si="5"/>
        <v>41-60</v>
      </c>
      <c r="D332" t="s">
        <v>12</v>
      </c>
      <c r="E332" t="s">
        <v>14</v>
      </c>
      <c r="F332" t="s">
        <v>22</v>
      </c>
      <c r="G332" t="s">
        <v>27</v>
      </c>
      <c r="H332">
        <v>13</v>
      </c>
      <c r="I332">
        <v>185223</v>
      </c>
      <c r="J332" t="s">
        <v>28</v>
      </c>
      <c r="K332" t="s">
        <v>31</v>
      </c>
      <c r="L332" t="s">
        <v>32</v>
      </c>
      <c r="M332">
        <v>5</v>
      </c>
    </row>
    <row r="333" spans="1:13" x14ac:dyDescent="0.3">
      <c r="A333">
        <v>100332</v>
      </c>
      <c r="B333">
        <v>60</v>
      </c>
      <c r="C333" t="str">
        <f t="shared" si="5"/>
        <v>41-60</v>
      </c>
      <c r="D333" t="s">
        <v>12</v>
      </c>
      <c r="E333" t="s">
        <v>16</v>
      </c>
      <c r="F333" t="s">
        <v>23</v>
      </c>
      <c r="G333" t="s">
        <v>26</v>
      </c>
      <c r="H333">
        <v>18</v>
      </c>
      <c r="I333">
        <v>120128</v>
      </c>
      <c r="J333" t="s">
        <v>28</v>
      </c>
      <c r="K333" t="s">
        <v>8</v>
      </c>
      <c r="L333" t="s">
        <v>34</v>
      </c>
      <c r="M333">
        <v>4</v>
      </c>
    </row>
    <row r="334" spans="1:13" x14ac:dyDescent="0.3">
      <c r="A334">
        <v>100333</v>
      </c>
      <c r="B334">
        <v>63</v>
      </c>
      <c r="C334" t="str">
        <f t="shared" si="5"/>
        <v>60+</v>
      </c>
      <c r="D334" t="s">
        <v>13</v>
      </c>
      <c r="E334" t="s">
        <v>17</v>
      </c>
      <c r="F334" t="s">
        <v>21</v>
      </c>
      <c r="G334" t="s">
        <v>27</v>
      </c>
      <c r="H334">
        <v>14</v>
      </c>
      <c r="I334">
        <v>169896</v>
      </c>
      <c r="J334" t="s">
        <v>29</v>
      </c>
      <c r="K334" t="s">
        <v>30</v>
      </c>
      <c r="L334" t="s">
        <v>32</v>
      </c>
      <c r="M334">
        <v>5</v>
      </c>
    </row>
    <row r="335" spans="1:13" x14ac:dyDescent="0.3">
      <c r="A335">
        <v>100334</v>
      </c>
      <c r="B335">
        <v>85</v>
      </c>
      <c r="C335" t="str">
        <f t="shared" si="5"/>
        <v>60+</v>
      </c>
      <c r="D335" t="s">
        <v>13</v>
      </c>
      <c r="E335" t="s">
        <v>15</v>
      </c>
      <c r="F335" t="s">
        <v>24</v>
      </c>
      <c r="G335" t="s">
        <v>26</v>
      </c>
      <c r="H335">
        <v>18</v>
      </c>
      <c r="I335">
        <v>166145</v>
      </c>
      <c r="J335" t="s">
        <v>29</v>
      </c>
      <c r="K335" t="s">
        <v>31</v>
      </c>
      <c r="L335" t="s">
        <v>33</v>
      </c>
      <c r="M335">
        <v>5</v>
      </c>
    </row>
    <row r="336" spans="1:13" x14ac:dyDescent="0.3">
      <c r="A336">
        <v>100335</v>
      </c>
      <c r="B336">
        <v>32</v>
      </c>
      <c r="C336" t="str">
        <f t="shared" si="5"/>
        <v>19-40</v>
      </c>
      <c r="D336" t="s">
        <v>13</v>
      </c>
      <c r="E336" t="s">
        <v>15</v>
      </c>
      <c r="F336" t="s">
        <v>24</v>
      </c>
      <c r="G336" t="s">
        <v>26</v>
      </c>
      <c r="H336">
        <v>13</v>
      </c>
      <c r="I336">
        <v>114651</v>
      </c>
      <c r="J336" t="s">
        <v>28</v>
      </c>
      <c r="K336" t="s">
        <v>31</v>
      </c>
      <c r="L336" t="s">
        <v>35</v>
      </c>
      <c r="M336">
        <v>4</v>
      </c>
    </row>
    <row r="337" spans="1:13" x14ac:dyDescent="0.3">
      <c r="A337">
        <v>100336</v>
      </c>
      <c r="B337">
        <v>87</v>
      </c>
      <c r="C337" t="str">
        <f t="shared" si="5"/>
        <v>60+</v>
      </c>
      <c r="D337" t="s">
        <v>12</v>
      </c>
      <c r="E337" t="s">
        <v>14</v>
      </c>
      <c r="F337" t="s">
        <v>24</v>
      </c>
      <c r="G337" t="s">
        <v>26</v>
      </c>
      <c r="H337">
        <v>11</v>
      </c>
      <c r="I337">
        <v>99624</v>
      </c>
      <c r="J337" t="s">
        <v>29</v>
      </c>
      <c r="K337" t="s">
        <v>8</v>
      </c>
      <c r="L337" t="s">
        <v>34</v>
      </c>
      <c r="M337">
        <v>4</v>
      </c>
    </row>
    <row r="338" spans="1:13" x14ac:dyDescent="0.3">
      <c r="A338">
        <v>100337</v>
      </c>
      <c r="B338">
        <v>33</v>
      </c>
      <c r="C338" t="str">
        <f t="shared" si="5"/>
        <v>19-40</v>
      </c>
      <c r="D338" t="s">
        <v>13</v>
      </c>
      <c r="E338" t="s">
        <v>18</v>
      </c>
      <c r="F338" t="s">
        <v>22</v>
      </c>
      <c r="G338" t="s">
        <v>25</v>
      </c>
      <c r="H338">
        <v>16</v>
      </c>
      <c r="I338">
        <v>226720</v>
      </c>
      <c r="J338" t="s">
        <v>29</v>
      </c>
      <c r="K338" t="s">
        <v>31</v>
      </c>
      <c r="L338" t="s">
        <v>33</v>
      </c>
      <c r="M338">
        <v>4</v>
      </c>
    </row>
    <row r="339" spans="1:13" x14ac:dyDescent="0.3">
      <c r="A339">
        <v>100338</v>
      </c>
      <c r="B339">
        <v>67</v>
      </c>
      <c r="C339" t="str">
        <f t="shared" si="5"/>
        <v>60+</v>
      </c>
      <c r="D339" t="s">
        <v>12</v>
      </c>
      <c r="E339" t="s">
        <v>17</v>
      </c>
      <c r="F339" t="s">
        <v>21</v>
      </c>
      <c r="G339" t="s">
        <v>25</v>
      </c>
      <c r="H339">
        <v>17</v>
      </c>
      <c r="I339">
        <v>159371</v>
      </c>
      <c r="J339" t="s">
        <v>28</v>
      </c>
      <c r="K339" t="s">
        <v>31</v>
      </c>
      <c r="L339" t="s">
        <v>35</v>
      </c>
      <c r="M339">
        <v>2</v>
      </c>
    </row>
    <row r="340" spans="1:13" x14ac:dyDescent="0.3">
      <c r="A340">
        <v>100339</v>
      </c>
      <c r="B340">
        <v>18</v>
      </c>
      <c r="C340" t="str">
        <f t="shared" si="5"/>
        <v>0-18</v>
      </c>
      <c r="D340" t="s">
        <v>13</v>
      </c>
      <c r="E340" t="s">
        <v>19</v>
      </c>
      <c r="F340" t="s">
        <v>23</v>
      </c>
      <c r="G340" t="s">
        <v>25</v>
      </c>
      <c r="H340">
        <v>8</v>
      </c>
      <c r="I340">
        <v>233065</v>
      </c>
      <c r="J340" t="s">
        <v>29</v>
      </c>
      <c r="K340" t="s">
        <v>30</v>
      </c>
      <c r="L340" t="s">
        <v>33</v>
      </c>
      <c r="M340">
        <v>1</v>
      </c>
    </row>
    <row r="341" spans="1:13" x14ac:dyDescent="0.3">
      <c r="A341">
        <v>100340</v>
      </c>
      <c r="B341">
        <v>25</v>
      </c>
      <c r="C341" t="str">
        <f t="shared" si="5"/>
        <v>19-40</v>
      </c>
      <c r="D341" t="s">
        <v>12</v>
      </c>
      <c r="E341" t="s">
        <v>18</v>
      </c>
      <c r="F341" t="s">
        <v>20</v>
      </c>
      <c r="G341" t="s">
        <v>26</v>
      </c>
      <c r="H341">
        <v>19</v>
      </c>
      <c r="I341">
        <v>191933</v>
      </c>
      <c r="J341" t="s">
        <v>29</v>
      </c>
      <c r="K341" t="s">
        <v>31</v>
      </c>
      <c r="L341" t="s">
        <v>34</v>
      </c>
      <c r="M341">
        <v>1</v>
      </c>
    </row>
    <row r="342" spans="1:13" x14ac:dyDescent="0.3">
      <c r="A342">
        <v>100341</v>
      </c>
      <c r="B342">
        <v>54</v>
      </c>
      <c r="C342" t="str">
        <f t="shared" si="5"/>
        <v>41-60</v>
      </c>
      <c r="D342" t="s">
        <v>13</v>
      </c>
      <c r="E342" t="s">
        <v>18</v>
      </c>
      <c r="F342" t="s">
        <v>20</v>
      </c>
      <c r="G342" t="s">
        <v>27</v>
      </c>
      <c r="H342">
        <v>15</v>
      </c>
      <c r="I342">
        <v>32063</v>
      </c>
      <c r="J342" t="s">
        <v>29</v>
      </c>
      <c r="K342" t="s">
        <v>31</v>
      </c>
      <c r="L342" t="s">
        <v>34</v>
      </c>
      <c r="M342">
        <v>4</v>
      </c>
    </row>
    <row r="343" spans="1:13" x14ac:dyDescent="0.3">
      <c r="A343">
        <v>100342</v>
      </c>
      <c r="B343">
        <v>58</v>
      </c>
      <c r="C343" t="str">
        <f t="shared" si="5"/>
        <v>41-60</v>
      </c>
      <c r="D343" t="s">
        <v>13</v>
      </c>
      <c r="E343" t="s">
        <v>17</v>
      </c>
      <c r="F343" t="s">
        <v>24</v>
      </c>
      <c r="G343" t="s">
        <v>27</v>
      </c>
      <c r="H343">
        <v>9</v>
      </c>
      <c r="I343">
        <v>71453</v>
      </c>
      <c r="J343" t="s">
        <v>28</v>
      </c>
      <c r="K343" t="s">
        <v>30</v>
      </c>
      <c r="L343" t="s">
        <v>33</v>
      </c>
      <c r="M343">
        <v>5</v>
      </c>
    </row>
    <row r="344" spans="1:13" x14ac:dyDescent="0.3">
      <c r="A344">
        <v>100343</v>
      </c>
      <c r="B344">
        <v>67</v>
      </c>
      <c r="C344" t="str">
        <f t="shared" si="5"/>
        <v>60+</v>
      </c>
      <c r="D344" t="s">
        <v>13</v>
      </c>
      <c r="E344" t="s">
        <v>14</v>
      </c>
      <c r="F344" t="s">
        <v>21</v>
      </c>
      <c r="G344" t="s">
        <v>27</v>
      </c>
      <c r="H344">
        <v>10</v>
      </c>
      <c r="I344">
        <v>201544</v>
      </c>
      <c r="J344" t="s">
        <v>28</v>
      </c>
      <c r="K344" t="s">
        <v>8</v>
      </c>
      <c r="L344" t="s">
        <v>35</v>
      </c>
      <c r="M344">
        <v>3</v>
      </c>
    </row>
    <row r="345" spans="1:13" x14ac:dyDescent="0.3">
      <c r="A345">
        <v>100344</v>
      </c>
      <c r="B345">
        <v>46</v>
      </c>
      <c r="C345" t="str">
        <f t="shared" si="5"/>
        <v>41-60</v>
      </c>
      <c r="D345" t="s">
        <v>12</v>
      </c>
      <c r="E345" t="s">
        <v>14</v>
      </c>
      <c r="F345" t="s">
        <v>22</v>
      </c>
      <c r="G345" t="s">
        <v>27</v>
      </c>
      <c r="H345">
        <v>12</v>
      </c>
      <c r="I345">
        <v>104166</v>
      </c>
      <c r="J345" t="s">
        <v>29</v>
      </c>
      <c r="K345" t="s">
        <v>8</v>
      </c>
      <c r="L345" t="s">
        <v>32</v>
      </c>
      <c r="M345">
        <v>4</v>
      </c>
    </row>
    <row r="346" spans="1:13" x14ac:dyDescent="0.3">
      <c r="A346">
        <v>100345</v>
      </c>
      <c r="B346">
        <v>24</v>
      </c>
      <c r="C346" t="str">
        <f t="shared" si="5"/>
        <v>19-40</v>
      </c>
      <c r="D346" t="s">
        <v>12</v>
      </c>
      <c r="E346" t="s">
        <v>14</v>
      </c>
      <c r="F346" t="s">
        <v>21</v>
      </c>
      <c r="G346" t="s">
        <v>25</v>
      </c>
      <c r="H346">
        <v>1</v>
      </c>
      <c r="I346">
        <v>16506</v>
      </c>
      <c r="J346" t="s">
        <v>28</v>
      </c>
      <c r="K346" t="s">
        <v>30</v>
      </c>
      <c r="L346" t="s">
        <v>32</v>
      </c>
      <c r="M346">
        <v>5</v>
      </c>
    </row>
    <row r="347" spans="1:13" x14ac:dyDescent="0.3">
      <c r="A347">
        <v>100346</v>
      </c>
      <c r="B347">
        <v>32</v>
      </c>
      <c r="C347" t="str">
        <f t="shared" si="5"/>
        <v>19-40</v>
      </c>
      <c r="D347" t="s">
        <v>13</v>
      </c>
      <c r="E347" t="s">
        <v>14</v>
      </c>
      <c r="F347" t="s">
        <v>21</v>
      </c>
      <c r="G347" t="s">
        <v>25</v>
      </c>
      <c r="H347">
        <v>9</v>
      </c>
      <c r="I347">
        <v>227413</v>
      </c>
      <c r="J347" t="s">
        <v>28</v>
      </c>
      <c r="K347" t="s">
        <v>30</v>
      </c>
      <c r="L347" t="s">
        <v>33</v>
      </c>
      <c r="M347">
        <v>5</v>
      </c>
    </row>
    <row r="348" spans="1:13" x14ac:dyDescent="0.3">
      <c r="A348">
        <v>100347</v>
      </c>
      <c r="B348">
        <v>47</v>
      </c>
      <c r="C348" t="str">
        <f t="shared" si="5"/>
        <v>41-60</v>
      </c>
      <c r="D348" t="s">
        <v>13</v>
      </c>
      <c r="E348" t="s">
        <v>15</v>
      </c>
      <c r="F348" t="s">
        <v>22</v>
      </c>
      <c r="G348" t="s">
        <v>26</v>
      </c>
      <c r="H348">
        <v>15</v>
      </c>
      <c r="I348">
        <v>212926</v>
      </c>
      <c r="J348" t="s">
        <v>28</v>
      </c>
      <c r="K348" t="s">
        <v>8</v>
      </c>
      <c r="L348" t="s">
        <v>34</v>
      </c>
      <c r="M348">
        <v>2</v>
      </c>
    </row>
    <row r="349" spans="1:13" x14ac:dyDescent="0.3">
      <c r="A349">
        <v>100348</v>
      </c>
      <c r="B349">
        <v>86</v>
      </c>
      <c r="C349" t="str">
        <f t="shared" si="5"/>
        <v>60+</v>
      </c>
      <c r="D349" t="s">
        <v>12</v>
      </c>
      <c r="E349" t="s">
        <v>14</v>
      </c>
      <c r="F349" t="s">
        <v>24</v>
      </c>
      <c r="G349" t="s">
        <v>26</v>
      </c>
      <c r="H349">
        <v>1</v>
      </c>
      <c r="I349">
        <v>115604</v>
      </c>
      <c r="J349" t="s">
        <v>29</v>
      </c>
      <c r="K349" t="s">
        <v>8</v>
      </c>
      <c r="L349" t="s">
        <v>35</v>
      </c>
      <c r="M349">
        <v>2</v>
      </c>
    </row>
    <row r="350" spans="1:13" x14ac:dyDescent="0.3">
      <c r="A350">
        <v>100349</v>
      </c>
      <c r="B350">
        <v>23</v>
      </c>
      <c r="C350" t="str">
        <f t="shared" si="5"/>
        <v>19-40</v>
      </c>
      <c r="D350" t="s">
        <v>12</v>
      </c>
      <c r="E350" t="s">
        <v>15</v>
      </c>
      <c r="F350" t="s">
        <v>21</v>
      </c>
      <c r="G350" t="s">
        <v>27</v>
      </c>
      <c r="H350">
        <v>12</v>
      </c>
      <c r="I350">
        <v>28026</v>
      </c>
      <c r="J350" t="s">
        <v>29</v>
      </c>
      <c r="K350" t="s">
        <v>8</v>
      </c>
      <c r="L350" t="s">
        <v>35</v>
      </c>
      <c r="M350">
        <v>1</v>
      </c>
    </row>
    <row r="351" spans="1:13" x14ac:dyDescent="0.3">
      <c r="A351">
        <v>100350</v>
      </c>
      <c r="B351">
        <v>66</v>
      </c>
      <c r="C351" t="str">
        <f t="shared" si="5"/>
        <v>60+</v>
      </c>
      <c r="D351" t="s">
        <v>12</v>
      </c>
      <c r="E351" t="s">
        <v>15</v>
      </c>
      <c r="F351" t="s">
        <v>20</v>
      </c>
      <c r="G351" t="s">
        <v>25</v>
      </c>
      <c r="H351">
        <v>3</v>
      </c>
      <c r="I351">
        <v>160744</v>
      </c>
      <c r="J351" t="s">
        <v>28</v>
      </c>
      <c r="K351" t="s">
        <v>8</v>
      </c>
      <c r="L351" t="s">
        <v>34</v>
      </c>
      <c r="M351">
        <v>1</v>
      </c>
    </row>
    <row r="352" spans="1:13" x14ac:dyDescent="0.3">
      <c r="A352">
        <v>100351</v>
      </c>
      <c r="B352">
        <v>27</v>
      </c>
      <c r="C352" t="str">
        <f t="shared" si="5"/>
        <v>19-40</v>
      </c>
      <c r="D352" t="s">
        <v>13</v>
      </c>
      <c r="E352" t="s">
        <v>14</v>
      </c>
      <c r="F352" t="s">
        <v>22</v>
      </c>
      <c r="G352" t="s">
        <v>27</v>
      </c>
      <c r="H352">
        <v>11</v>
      </c>
      <c r="I352">
        <v>171489</v>
      </c>
      <c r="J352" t="s">
        <v>29</v>
      </c>
      <c r="K352" t="s">
        <v>8</v>
      </c>
      <c r="L352" t="s">
        <v>32</v>
      </c>
      <c r="M352">
        <v>3</v>
      </c>
    </row>
    <row r="353" spans="1:13" x14ac:dyDescent="0.3">
      <c r="A353">
        <v>100352</v>
      </c>
      <c r="B353">
        <v>2</v>
      </c>
      <c r="C353" t="str">
        <f t="shared" si="5"/>
        <v>0-18</v>
      </c>
      <c r="D353" t="s">
        <v>12</v>
      </c>
      <c r="E353" t="s">
        <v>16</v>
      </c>
      <c r="F353" t="s">
        <v>23</v>
      </c>
      <c r="G353" t="s">
        <v>26</v>
      </c>
      <c r="H353">
        <v>2</v>
      </c>
      <c r="I353">
        <v>54413</v>
      </c>
      <c r="J353" t="s">
        <v>29</v>
      </c>
      <c r="K353" t="s">
        <v>30</v>
      </c>
      <c r="L353" t="s">
        <v>35</v>
      </c>
      <c r="M353">
        <v>3</v>
      </c>
    </row>
    <row r="354" spans="1:13" x14ac:dyDescent="0.3">
      <c r="A354">
        <v>100353</v>
      </c>
      <c r="B354">
        <v>17</v>
      </c>
      <c r="C354" t="str">
        <f t="shared" si="5"/>
        <v>0-18</v>
      </c>
      <c r="D354" t="s">
        <v>13</v>
      </c>
      <c r="E354" t="s">
        <v>19</v>
      </c>
      <c r="F354" t="s">
        <v>24</v>
      </c>
      <c r="G354" t="s">
        <v>26</v>
      </c>
      <c r="H354">
        <v>16</v>
      </c>
      <c r="I354">
        <v>67066</v>
      </c>
      <c r="J354" t="s">
        <v>29</v>
      </c>
      <c r="K354" t="s">
        <v>31</v>
      </c>
      <c r="L354" t="s">
        <v>33</v>
      </c>
      <c r="M354">
        <v>3</v>
      </c>
    </row>
    <row r="355" spans="1:13" x14ac:dyDescent="0.3">
      <c r="A355">
        <v>100354</v>
      </c>
      <c r="B355">
        <v>33</v>
      </c>
      <c r="C355" t="str">
        <f t="shared" si="5"/>
        <v>19-40</v>
      </c>
      <c r="D355" t="s">
        <v>12</v>
      </c>
      <c r="E355" t="s">
        <v>18</v>
      </c>
      <c r="F355" t="s">
        <v>22</v>
      </c>
      <c r="G355" t="s">
        <v>27</v>
      </c>
      <c r="H355">
        <v>9</v>
      </c>
      <c r="I355">
        <v>192285</v>
      </c>
      <c r="J355" t="s">
        <v>29</v>
      </c>
      <c r="K355" t="s">
        <v>8</v>
      </c>
      <c r="L355" t="s">
        <v>32</v>
      </c>
      <c r="M355">
        <v>3</v>
      </c>
    </row>
    <row r="356" spans="1:13" x14ac:dyDescent="0.3">
      <c r="A356">
        <v>100355</v>
      </c>
      <c r="B356">
        <v>9</v>
      </c>
      <c r="C356" t="str">
        <f t="shared" si="5"/>
        <v>0-18</v>
      </c>
      <c r="D356" t="s">
        <v>13</v>
      </c>
      <c r="E356" t="s">
        <v>15</v>
      </c>
      <c r="F356" t="s">
        <v>23</v>
      </c>
      <c r="G356" t="s">
        <v>26</v>
      </c>
      <c r="H356">
        <v>15</v>
      </c>
      <c r="I356">
        <v>52971</v>
      </c>
      <c r="J356" t="s">
        <v>29</v>
      </c>
      <c r="K356" t="s">
        <v>8</v>
      </c>
      <c r="L356" t="s">
        <v>33</v>
      </c>
      <c r="M356">
        <v>5</v>
      </c>
    </row>
    <row r="357" spans="1:13" x14ac:dyDescent="0.3">
      <c r="A357">
        <v>100356</v>
      </c>
      <c r="B357">
        <v>43</v>
      </c>
      <c r="C357" t="str">
        <f t="shared" si="5"/>
        <v>41-60</v>
      </c>
      <c r="D357" t="s">
        <v>12</v>
      </c>
      <c r="E357" t="s">
        <v>17</v>
      </c>
      <c r="F357" t="s">
        <v>23</v>
      </c>
      <c r="G357" t="s">
        <v>27</v>
      </c>
      <c r="H357">
        <v>12</v>
      </c>
      <c r="I357">
        <v>160353</v>
      </c>
      <c r="J357" t="s">
        <v>28</v>
      </c>
      <c r="K357" t="s">
        <v>31</v>
      </c>
      <c r="L357" t="s">
        <v>32</v>
      </c>
      <c r="M357">
        <v>5</v>
      </c>
    </row>
    <row r="358" spans="1:13" x14ac:dyDescent="0.3">
      <c r="A358">
        <v>100357</v>
      </c>
      <c r="B358">
        <v>48</v>
      </c>
      <c r="C358" t="str">
        <f t="shared" si="5"/>
        <v>41-60</v>
      </c>
      <c r="D358" t="s">
        <v>12</v>
      </c>
      <c r="E358" t="s">
        <v>17</v>
      </c>
      <c r="F358" t="s">
        <v>21</v>
      </c>
      <c r="G358" t="s">
        <v>25</v>
      </c>
      <c r="H358">
        <v>1</v>
      </c>
      <c r="I358">
        <v>115978</v>
      </c>
      <c r="J358" t="s">
        <v>29</v>
      </c>
      <c r="K358" t="s">
        <v>31</v>
      </c>
      <c r="L358" t="s">
        <v>34</v>
      </c>
      <c r="M358">
        <v>1</v>
      </c>
    </row>
    <row r="359" spans="1:13" x14ac:dyDescent="0.3">
      <c r="A359">
        <v>100358</v>
      </c>
      <c r="B359">
        <v>39</v>
      </c>
      <c r="C359" t="str">
        <f t="shared" si="5"/>
        <v>19-40</v>
      </c>
      <c r="D359" t="s">
        <v>12</v>
      </c>
      <c r="E359" t="s">
        <v>19</v>
      </c>
      <c r="F359" t="s">
        <v>21</v>
      </c>
      <c r="G359" t="s">
        <v>27</v>
      </c>
      <c r="H359">
        <v>13</v>
      </c>
      <c r="I359">
        <v>161163</v>
      </c>
      <c r="J359" t="s">
        <v>29</v>
      </c>
      <c r="K359" t="s">
        <v>31</v>
      </c>
      <c r="L359" t="s">
        <v>33</v>
      </c>
      <c r="M359">
        <v>2</v>
      </c>
    </row>
    <row r="360" spans="1:13" x14ac:dyDescent="0.3">
      <c r="A360">
        <v>100359</v>
      </c>
      <c r="B360">
        <v>42</v>
      </c>
      <c r="C360" t="str">
        <f t="shared" si="5"/>
        <v>41-60</v>
      </c>
      <c r="D360" t="s">
        <v>12</v>
      </c>
      <c r="E360" t="s">
        <v>17</v>
      </c>
      <c r="F360" t="s">
        <v>21</v>
      </c>
      <c r="G360" t="s">
        <v>25</v>
      </c>
      <c r="H360">
        <v>14</v>
      </c>
      <c r="I360">
        <v>52494</v>
      </c>
      <c r="J360" t="s">
        <v>29</v>
      </c>
      <c r="K360" t="s">
        <v>31</v>
      </c>
      <c r="L360" t="s">
        <v>33</v>
      </c>
      <c r="M360">
        <v>2</v>
      </c>
    </row>
    <row r="361" spans="1:13" x14ac:dyDescent="0.3">
      <c r="A361">
        <v>100360</v>
      </c>
      <c r="B361">
        <v>26</v>
      </c>
      <c r="C361" t="str">
        <f t="shared" si="5"/>
        <v>19-40</v>
      </c>
      <c r="D361" t="s">
        <v>12</v>
      </c>
      <c r="E361" t="s">
        <v>16</v>
      </c>
      <c r="F361" t="s">
        <v>22</v>
      </c>
      <c r="G361" t="s">
        <v>25</v>
      </c>
      <c r="H361">
        <v>8</v>
      </c>
      <c r="I361">
        <v>105864</v>
      </c>
      <c r="J361" t="s">
        <v>28</v>
      </c>
      <c r="K361" t="s">
        <v>31</v>
      </c>
      <c r="L361" t="s">
        <v>34</v>
      </c>
      <c r="M361">
        <v>4</v>
      </c>
    </row>
    <row r="362" spans="1:13" x14ac:dyDescent="0.3">
      <c r="A362">
        <v>100361</v>
      </c>
      <c r="B362">
        <v>50</v>
      </c>
      <c r="C362" t="str">
        <f t="shared" si="5"/>
        <v>41-60</v>
      </c>
      <c r="D362" t="s">
        <v>13</v>
      </c>
      <c r="E362" t="s">
        <v>17</v>
      </c>
      <c r="F362" t="s">
        <v>22</v>
      </c>
      <c r="G362" t="s">
        <v>26</v>
      </c>
      <c r="H362">
        <v>8</v>
      </c>
      <c r="I362">
        <v>246827</v>
      </c>
      <c r="J362" t="s">
        <v>28</v>
      </c>
      <c r="K362" t="s">
        <v>31</v>
      </c>
      <c r="L362" t="s">
        <v>33</v>
      </c>
      <c r="M362">
        <v>5</v>
      </c>
    </row>
    <row r="363" spans="1:13" x14ac:dyDescent="0.3">
      <c r="A363">
        <v>100362</v>
      </c>
      <c r="B363">
        <v>25</v>
      </c>
      <c r="C363" t="str">
        <f t="shared" si="5"/>
        <v>19-40</v>
      </c>
      <c r="D363" t="s">
        <v>12</v>
      </c>
      <c r="E363" t="s">
        <v>18</v>
      </c>
      <c r="F363" t="s">
        <v>24</v>
      </c>
      <c r="G363" t="s">
        <v>26</v>
      </c>
      <c r="H363">
        <v>12</v>
      </c>
      <c r="I363">
        <v>151682</v>
      </c>
      <c r="J363" t="s">
        <v>28</v>
      </c>
      <c r="K363" t="s">
        <v>30</v>
      </c>
      <c r="L363" t="s">
        <v>32</v>
      </c>
      <c r="M363">
        <v>3</v>
      </c>
    </row>
    <row r="364" spans="1:13" x14ac:dyDescent="0.3">
      <c r="A364">
        <v>100363</v>
      </c>
      <c r="B364">
        <v>24</v>
      </c>
      <c r="C364" t="str">
        <f t="shared" si="5"/>
        <v>19-40</v>
      </c>
      <c r="D364" t="s">
        <v>12</v>
      </c>
      <c r="E364" t="s">
        <v>18</v>
      </c>
      <c r="F364" t="s">
        <v>21</v>
      </c>
      <c r="G364" t="s">
        <v>26</v>
      </c>
      <c r="H364">
        <v>1</v>
      </c>
      <c r="I364">
        <v>134151</v>
      </c>
      <c r="J364" t="s">
        <v>29</v>
      </c>
      <c r="K364" t="s">
        <v>31</v>
      </c>
      <c r="L364" t="s">
        <v>35</v>
      </c>
      <c r="M364">
        <v>3</v>
      </c>
    </row>
    <row r="365" spans="1:13" x14ac:dyDescent="0.3">
      <c r="A365">
        <v>100364</v>
      </c>
      <c r="B365">
        <v>13</v>
      </c>
      <c r="C365" t="str">
        <f t="shared" si="5"/>
        <v>0-18</v>
      </c>
      <c r="D365" t="s">
        <v>12</v>
      </c>
      <c r="E365" t="s">
        <v>15</v>
      </c>
      <c r="F365" t="s">
        <v>23</v>
      </c>
      <c r="G365" t="s">
        <v>27</v>
      </c>
      <c r="H365">
        <v>11</v>
      </c>
      <c r="I365">
        <v>97386</v>
      </c>
      <c r="J365" t="s">
        <v>28</v>
      </c>
      <c r="K365" t="s">
        <v>31</v>
      </c>
      <c r="L365" t="s">
        <v>35</v>
      </c>
      <c r="M365">
        <v>4</v>
      </c>
    </row>
    <row r="366" spans="1:13" x14ac:dyDescent="0.3">
      <c r="A366">
        <v>100365</v>
      </c>
      <c r="B366">
        <v>60</v>
      </c>
      <c r="C366" t="str">
        <f t="shared" si="5"/>
        <v>41-60</v>
      </c>
      <c r="D366" t="s">
        <v>13</v>
      </c>
      <c r="E366" t="s">
        <v>14</v>
      </c>
      <c r="F366" t="s">
        <v>20</v>
      </c>
      <c r="G366" t="s">
        <v>27</v>
      </c>
      <c r="H366">
        <v>8</v>
      </c>
      <c r="I366">
        <v>179823</v>
      </c>
      <c r="J366" t="s">
        <v>28</v>
      </c>
      <c r="K366" t="s">
        <v>30</v>
      </c>
      <c r="L366" t="s">
        <v>34</v>
      </c>
      <c r="M366">
        <v>2</v>
      </c>
    </row>
    <row r="367" spans="1:13" x14ac:dyDescent="0.3">
      <c r="A367">
        <v>100366</v>
      </c>
      <c r="B367">
        <v>7</v>
      </c>
      <c r="C367" t="str">
        <f t="shared" si="5"/>
        <v>0-18</v>
      </c>
      <c r="D367" t="s">
        <v>12</v>
      </c>
      <c r="E367" t="s">
        <v>16</v>
      </c>
      <c r="F367" t="s">
        <v>24</v>
      </c>
      <c r="G367" t="s">
        <v>26</v>
      </c>
      <c r="H367">
        <v>10</v>
      </c>
      <c r="I367">
        <v>88126</v>
      </c>
      <c r="J367" t="s">
        <v>28</v>
      </c>
      <c r="K367" t="s">
        <v>31</v>
      </c>
      <c r="L367" t="s">
        <v>32</v>
      </c>
      <c r="M367">
        <v>3</v>
      </c>
    </row>
    <row r="368" spans="1:13" x14ac:dyDescent="0.3">
      <c r="A368">
        <v>100367</v>
      </c>
      <c r="B368">
        <v>57</v>
      </c>
      <c r="C368" t="str">
        <f t="shared" si="5"/>
        <v>41-60</v>
      </c>
      <c r="D368" t="s">
        <v>13</v>
      </c>
      <c r="E368" t="s">
        <v>15</v>
      </c>
      <c r="F368" t="s">
        <v>22</v>
      </c>
      <c r="G368" t="s">
        <v>27</v>
      </c>
      <c r="H368">
        <v>19</v>
      </c>
      <c r="I368">
        <v>188504</v>
      </c>
      <c r="J368" t="s">
        <v>28</v>
      </c>
      <c r="K368" t="s">
        <v>8</v>
      </c>
      <c r="L368" t="s">
        <v>33</v>
      </c>
      <c r="M368">
        <v>2</v>
      </c>
    </row>
    <row r="369" spans="1:13" x14ac:dyDescent="0.3">
      <c r="A369">
        <v>100368</v>
      </c>
      <c r="B369">
        <v>36</v>
      </c>
      <c r="C369" t="str">
        <f t="shared" si="5"/>
        <v>19-40</v>
      </c>
      <c r="D369" t="s">
        <v>12</v>
      </c>
      <c r="E369" t="s">
        <v>16</v>
      </c>
      <c r="F369" t="s">
        <v>24</v>
      </c>
      <c r="G369" t="s">
        <v>26</v>
      </c>
      <c r="H369">
        <v>11</v>
      </c>
      <c r="I369">
        <v>164023</v>
      </c>
      <c r="J369" t="s">
        <v>29</v>
      </c>
      <c r="K369" t="s">
        <v>8</v>
      </c>
      <c r="L369" t="s">
        <v>33</v>
      </c>
      <c r="M369">
        <v>4</v>
      </c>
    </row>
    <row r="370" spans="1:13" x14ac:dyDescent="0.3">
      <c r="A370">
        <v>100369</v>
      </c>
      <c r="B370">
        <v>45</v>
      </c>
      <c r="C370" t="str">
        <f t="shared" si="5"/>
        <v>41-60</v>
      </c>
      <c r="D370" t="s">
        <v>12</v>
      </c>
      <c r="E370" t="s">
        <v>14</v>
      </c>
      <c r="F370" t="s">
        <v>24</v>
      </c>
      <c r="G370" t="s">
        <v>27</v>
      </c>
      <c r="H370">
        <v>7</v>
      </c>
      <c r="I370">
        <v>82863</v>
      </c>
      <c r="J370" t="s">
        <v>28</v>
      </c>
      <c r="K370" t="s">
        <v>31</v>
      </c>
      <c r="L370" t="s">
        <v>35</v>
      </c>
      <c r="M370">
        <v>2</v>
      </c>
    </row>
    <row r="371" spans="1:13" x14ac:dyDescent="0.3">
      <c r="A371">
        <v>100370</v>
      </c>
      <c r="B371">
        <v>20</v>
      </c>
      <c r="C371" t="str">
        <f t="shared" si="5"/>
        <v>19-40</v>
      </c>
      <c r="D371" t="s">
        <v>13</v>
      </c>
      <c r="E371" t="s">
        <v>17</v>
      </c>
      <c r="F371" t="s">
        <v>24</v>
      </c>
      <c r="G371" t="s">
        <v>25</v>
      </c>
      <c r="H371">
        <v>11</v>
      </c>
      <c r="I371">
        <v>80291</v>
      </c>
      <c r="J371" t="s">
        <v>28</v>
      </c>
      <c r="K371" t="s">
        <v>30</v>
      </c>
      <c r="L371" t="s">
        <v>33</v>
      </c>
      <c r="M371">
        <v>2</v>
      </c>
    </row>
    <row r="372" spans="1:13" x14ac:dyDescent="0.3">
      <c r="A372">
        <v>100371</v>
      </c>
      <c r="B372">
        <v>65</v>
      </c>
      <c r="C372" t="str">
        <f t="shared" si="5"/>
        <v>60+</v>
      </c>
      <c r="D372" t="s">
        <v>12</v>
      </c>
      <c r="E372" t="s">
        <v>17</v>
      </c>
      <c r="F372" t="s">
        <v>24</v>
      </c>
      <c r="G372" t="s">
        <v>25</v>
      </c>
      <c r="H372">
        <v>17</v>
      </c>
      <c r="I372">
        <v>127659</v>
      </c>
      <c r="J372" t="s">
        <v>29</v>
      </c>
      <c r="K372" t="s">
        <v>8</v>
      </c>
      <c r="L372" t="s">
        <v>35</v>
      </c>
      <c r="M372">
        <v>2</v>
      </c>
    </row>
    <row r="373" spans="1:13" x14ac:dyDescent="0.3">
      <c r="A373">
        <v>100372</v>
      </c>
      <c r="B373">
        <v>8</v>
      </c>
      <c r="C373" t="str">
        <f t="shared" si="5"/>
        <v>0-18</v>
      </c>
      <c r="D373" t="s">
        <v>13</v>
      </c>
      <c r="E373" t="s">
        <v>14</v>
      </c>
      <c r="F373" t="s">
        <v>20</v>
      </c>
      <c r="G373" t="s">
        <v>26</v>
      </c>
      <c r="H373">
        <v>1</v>
      </c>
      <c r="I373">
        <v>192944</v>
      </c>
      <c r="J373" t="s">
        <v>29</v>
      </c>
      <c r="K373" t="s">
        <v>30</v>
      </c>
      <c r="L373" t="s">
        <v>34</v>
      </c>
      <c r="M373">
        <v>3</v>
      </c>
    </row>
    <row r="374" spans="1:13" x14ac:dyDescent="0.3">
      <c r="A374">
        <v>100373</v>
      </c>
      <c r="B374">
        <v>16</v>
      </c>
      <c r="C374" t="str">
        <f t="shared" si="5"/>
        <v>0-18</v>
      </c>
      <c r="D374" t="s">
        <v>13</v>
      </c>
      <c r="E374" t="s">
        <v>15</v>
      </c>
      <c r="F374" t="s">
        <v>21</v>
      </c>
      <c r="G374" t="s">
        <v>27</v>
      </c>
      <c r="H374">
        <v>8</v>
      </c>
      <c r="I374">
        <v>9235</v>
      </c>
      <c r="J374" t="s">
        <v>28</v>
      </c>
      <c r="K374" t="s">
        <v>8</v>
      </c>
      <c r="L374" t="s">
        <v>33</v>
      </c>
      <c r="M374">
        <v>1</v>
      </c>
    </row>
    <row r="375" spans="1:13" x14ac:dyDescent="0.3">
      <c r="A375">
        <v>100374</v>
      </c>
      <c r="B375">
        <v>14</v>
      </c>
      <c r="C375" t="str">
        <f t="shared" si="5"/>
        <v>0-18</v>
      </c>
      <c r="D375" t="s">
        <v>12</v>
      </c>
      <c r="E375" t="s">
        <v>14</v>
      </c>
      <c r="F375" t="s">
        <v>23</v>
      </c>
      <c r="G375" t="s">
        <v>27</v>
      </c>
      <c r="H375">
        <v>6</v>
      </c>
      <c r="I375">
        <v>84733</v>
      </c>
      <c r="J375" t="s">
        <v>29</v>
      </c>
      <c r="K375" t="s">
        <v>31</v>
      </c>
      <c r="L375" t="s">
        <v>32</v>
      </c>
      <c r="M375">
        <v>5</v>
      </c>
    </row>
    <row r="376" spans="1:13" x14ac:dyDescent="0.3">
      <c r="A376">
        <v>100375</v>
      </c>
      <c r="B376">
        <v>76</v>
      </c>
      <c r="C376" t="str">
        <f t="shared" si="5"/>
        <v>60+</v>
      </c>
      <c r="D376" t="s">
        <v>13</v>
      </c>
      <c r="E376" t="s">
        <v>19</v>
      </c>
      <c r="F376" t="s">
        <v>24</v>
      </c>
      <c r="G376" t="s">
        <v>25</v>
      </c>
      <c r="H376">
        <v>18</v>
      </c>
      <c r="I376">
        <v>64712</v>
      </c>
      <c r="J376" t="s">
        <v>28</v>
      </c>
      <c r="K376" t="s">
        <v>30</v>
      </c>
      <c r="L376" t="s">
        <v>33</v>
      </c>
      <c r="M376">
        <v>2</v>
      </c>
    </row>
    <row r="377" spans="1:13" x14ac:dyDescent="0.3">
      <c r="A377">
        <v>100376</v>
      </c>
      <c r="B377">
        <v>87</v>
      </c>
      <c r="C377" t="str">
        <f t="shared" si="5"/>
        <v>60+</v>
      </c>
      <c r="D377" t="s">
        <v>12</v>
      </c>
      <c r="E377" t="s">
        <v>18</v>
      </c>
      <c r="F377" t="s">
        <v>24</v>
      </c>
      <c r="G377" t="s">
        <v>25</v>
      </c>
      <c r="H377">
        <v>6</v>
      </c>
      <c r="I377">
        <v>154545</v>
      </c>
      <c r="J377" t="s">
        <v>29</v>
      </c>
      <c r="K377" t="s">
        <v>30</v>
      </c>
      <c r="L377" t="s">
        <v>35</v>
      </c>
      <c r="M377">
        <v>2</v>
      </c>
    </row>
    <row r="378" spans="1:13" x14ac:dyDescent="0.3">
      <c r="A378">
        <v>100377</v>
      </c>
      <c r="B378">
        <v>15</v>
      </c>
      <c r="C378" t="str">
        <f t="shared" si="5"/>
        <v>0-18</v>
      </c>
      <c r="D378" t="s">
        <v>12</v>
      </c>
      <c r="E378" t="s">
        <v>15</v>
      </c>
      <c r="F378" t="s">
        <v>24</v>
      </c>
      <c r="G378" t="s">
        <v>26</v>
      </c>
      <c r="H378">
        <v>5</v>
      </c>
      <c r="I378">
        <v>200639</v>
      </c>
      <c r="J378" t="s">
        <v>29</v>
      </c>
      <c r="K378" t="s">
        <v>30</v>
      </c>
      <c r="L378" t="s">
        <v>34</v>
      </c>
      <c r="M378">
        <v>2</v>
      </c>
    </row>
    <row r="379" spans="1:13" x14ac:dyDescent="0.3">
      <c r="A379">
        <v>100378</v>
      </c>
      <c r="B379">
        <v>66</v>
      </c>
      <c r="C379" t="str">
        <f t="shared" si="5"/>
        <v>60+</v>
      </c>
      <c r="D379" t="s">
        <v>13</v>
      </c>
      <c r="E379" t="s">
        <v>16</v>
      </c>
      <c r="F379" t="s">
        <v>21</v>
      </c>
      <c r="G379" t="s">
        <v>25</v>
      </c>
      <c r="H379">
        <v>13</v>
      </c>
      <c r="I379">
        <v>239890</v>
      </c>
      <c r="J379" t="s">
        <v>28</v>
      </c>
      <c r="K379" t="s">
        <v>8</v>
      </c>
      <c r="L379" t="s">
        <v>35</v>
      </c>
      <c r="M379">
        <v>1</v>
      </c>
    </row>
    <row r="380" spans="1:13" x14ac:dyDescent="0.3">
      <c r="A380">
        <v>100379</v>
      </c>
      <c r="B380">
        <v>32</v>
      </c>
      <c r="C380" t="str">
        <f t="shared" si="5"/>
        <v>19-40</v>
      </c>
      <c r="D380" t="s">
        <v>13</v>
      </c>
      <c r="E380" t="s">
        <v>19</v>
      </c>
      <c r="F380" t="s">
        <v>22</v>
      </c>
      <c r="G380" t="s">
        <v>26</v>
      </c>
      <c r="H380">
        <v>19</v>
      </c>
      <c r="I380">
        <v>127849</v>
      </c>
      <c r="J380" t="s">
        <v>29</v>
      </c>
      <c r="K380" t="s">
        <v>8</v>
      </c>
      <c r="L380" t="s">
        <v>33</v>
      </c>
      <c r="M380">
        <v>4</v>
      </c>
    </row>
    <row r="381" spans="1:13" x14ac:dyDescent="0.3">
      <c r="A381">
        <v>100380</v>
      </c>
      <c r="B381">
        <v>87</v>
      </c>
      <c r="C381" t="str">
        <f t="shared" si="5"/>
        <v>60+</v>
      </c>
      <c r="D381" t="s">
        <v>13</v>
      </c>
      <c r="E381" t="s">
        <v>15</v>
      </c>
      <c r="F381" t="s">
        <v>22</v>
      </c>
      <c r="G381" t="s">
        <v>25</v>
      </c>
      <c r="H381">
        <v>8</v>
      </c>
      <c r="I381">
        <v>240471</v>
      </c>
      <c r="J381" t="s">
        <v>28</v>
      </c>
      <c r="K381" t="s">
        <v>8</v>
      </c>
      <c r="L381" t="s">
        <v>35</v>
      </c>
      <c r="M381">
        <v>3</v>
      </c>
    </row>
    <row r="382" spans="1:13" x14ac:dyDescent="0.3">
      <c r="A382">
        <v>100381</v>
      </c>
      <c r="B382">
        <v>63</v>
      </c>
      <c r="C382" t="str">
        <f t="shared" si="5"/>
        <v>60+</v>
      </c>
      <c r="D382" t="s">
        <v>13</v>
      </c>
      <c r="E382" t="s">
        <v>14</v>
      </c>
      <c r="F382" t="s">
        <v>20</v>
      </c>
      <c r="G382" t="s">
        <v>25</v>
      </c>
      <c r="H382">
        <v>9</v>
      </c>
      <c r="I382">
        <v>81823</v>
      </c>
      <c r="J382" t="s">
        <v>29</v>
      </c>
      <c r="K382" t="s">
        <v>31</v>
      </c>
      <c r="L382" t="s">
        <v>35</v>
      </c>
      <c r="M382">
        <v>1</v>
      </c>
    </row>
    <row r="383" spans="1:13" x14ac:dyDescent="0.3">
      <c r="A383">
        <v>100382</v>
      </c>
      <c r="B383">
        <v>86</v>
      </c>
      <c r="C383" t="str">
        <f t="shared" si="5"/>
        <v>60+</v>
      </c>
      <c r="D383" t="s">
        <v>12</v>
      </c>
      <c r="E383" t="s">
        <v>14</v>
      </c>
      <c r="F383" t="s">
        <v>22</v>
      </c>
      <c r="G383" t="s">
        <v>27</v>
      </c>
      <c r="H383">
        <v>17</v>
      </c>
      <c r="I383">
        <v>106215</v>
      </c>
      <c r="J383" t="s">
        <v>28</v>
      </c>
      <c r="K383" t="s">
        <v>8</v>
      </c>
      <c r="L383" t="s">
        <v>34</v>
      </c>
      <c r="M383">
        <v>2</v>
      </c>
    </row>
    <row r="384" spans="1:13" x14ac:dyDescent="0.3">
      <c r="A384">
        <v>100383</v>
      </c>
      <c r="B384">
        <v>51</v>
      </c>
      <c r="C384" t="str">
        <f t="shared" si="5"/>
        <v>41-60</v>
      </c>
      <c r="D384" t="s">
        <v>12</v>
      </c>
      <c r="E384" t="s">
        <v>14</v>
      </c>
      <c r="F384" t="s">
        <v>24</v>
      </c>
      <c r="G384" t="s">
        <v>25</v>
      </c>
      <c r="H384">
        <v>3</v>
      </c>
      <c r="I384">
        <v>243071</v>
      </c>
      <c r="J384" t="s">
        <v>29</v>
      </c>
      <c r="K384" t="s">
        <v>31</v>
      </c>
      <c r="L384" t="s">
        <v>32</v>
      </c>
      <c r="M384">
        <v>1</v>
      </c>
    </row>
    <row r="385" spans="1:13" x14ac:dyDescent="0.3">
      <c r="A385">
        <v>100384</v>
      </c>
      <c r="B385">
        <v>25</v>
      </c>
      <c r="C385" t="str">
        <f t="shared" si="5"/>
        <v>19-40</v>
      </c>
      <c r="D385" t="s">
        <v>13</v>
      </c>
      <c r="E385" t="s">
        <v>14</v>
      </c>
      <c r="F385" t="s">
        <v>24</v>
      </c>
      <c r="G385" t="s">
        <v>25</v>
      </c>
      <c r="H385">
        <v>19</v>
      </c>
      <c r="I385">
        <v>34230</v>
      </c>
      <c r="J385" t="s">
        <v>29</v>
      </c>
      <c r="K385" t="s">
        <v>30</v>
      </c>
      <c r="L385" t="s">
        <v>33</v>
      </c>
      <c r="M385">
        <v>1</v>
      </c>
    </row>
    <row r="386" spans="1:13" x14ac:dyDescent="0.3">
      <c r="A386">
        <v>100385</v>
      </c>
      <c r="B386">
        <v>58</v>
      </c>
      <c r="C386" t="str">
        <f t="shared" ref="C386:C449" si="6">IF(B386&lt;=18,"0-18",IF(B386&lt;=40,"19-40",IF(B386&lt;=60,"41-60","60+")))</f>
        <v>41-60</v>
      </c>
      <c r="D386" t="s">
        <v>12</v>
      </c>
      <c r="E386" t="s">
        <v>16</v>
      </c>
      <c r="F386" t="s">
        <v>24</v>
      </c>
      <c r="G386" t="s">
        <v>26</v>
      </c>
      <c r="H386">
        <v>11</v>
      </c>
      <c r="I386">
        <v>86573</v>
      </c>
      <c r="J386" t="s">
        <v>29</v>
      </c>
      <c r="K386" t="s">
        <v>30</v>
      </c>
      <c r="L386" t="s">
        <v>34</v>
      </c>
      <c r="M386">
        <v>1</v>
      </c>
    </row>
    <row r="387" spans="1:13" x14ac:dyDescent="0.3">
      <c r="A387">
        <v>100386</v>
      </c>
      <c r="B387">
        <v>63</v>
      </c>
      <c r="C387" t="str">
        <f t="shared" si="6"/>
        <v>60+</v>
      </c>
      <c r="D387" t="s">
        <v>12</v>
      </c>
      <c r="E387" t="s">
        <v>19</v>
      </c>
      <c r="F387" t="s">
        <v>20</v>
      </c>
      <c r="G387" t="s">
        <v>25</v>
      </c>
      <c r="H387">
        <v>17</v>
      </c>
      <c r="I387">
        <v>225660</v>
      </c>
      <c r="J387" t="s">
        <v>29</v>
      </c>
      <c r="K387" t="s">
        <v>31</v>
      </c>
      <c r="L387" t="s">
        <v>32</v>
      </c>
      <c r="M387">
        <v>4</v>
      </c>
    </row>
    <row r="388" spans="1:13" x14ac:dyDescent="0.3">
      <c r="A388">
        <v>100387</v>
      </c>
      <c r="B388">
        <v>62</v>
      </c>
      <c r="C388" t="str">
        <f t="shared" si="6"/>
        <v>60+</v>
      </c>
      <c r="D388" t="s">
        <v>12</v>
      </c>
      <c r="E388" t="s">
        <v>17</v>
      </c>
      <c r="F388" t="s">
        <v>24</v>
      </c>
      <c r="G388" t="s">
        <v>26</v>
      </c>
      <c r="H388">
        <v>19</v>
      </c>
      <c r="I388">
        <v>201948</v>
      </c>
      <c r="J388" t="s">
        <v>29</v>
      </c>
      <c r="K388" t="s">
        <v>8</v>
      </c>
      <c r="L388" t="s">
        <v>35</v>
      </c>
      <c r="M388">
        <v>5</v>
      </c>
    </row>
    <row r="389" spans="1:13" x14ac:dyDescent="0.3">
      <c r="A389">
        <v>100388</v>
      </c>
      <c r="B389">
        <v>22</v>
      </c>
      <c r="C389" t="str">
        <f t="shared" si="6"/>
        <v>19-40</v>
      </c>
      <c r="D389" t="s">
        <v>12</v>
      </c>
      <c r="E389" t="s">
        <v>18</v>
      </c>
      <c r="F389" t="s">
        <v>22</v>
      </c>
      <c r="G389" t="s">
        <v>25</v>
      </c>
      <c r="H389">
        <v>2</v>
      </c>
      <c r="I389">
        <v>42644</v>
      </c>
      <c r="J389" t="s">
        <v>28</v>
      </c>
      <c r="K389" t="s">
        <v>31</v>
      </c>
      <c r="L389" t="s">
        <v>32</v>
      </c>
      <c r="M389">
        <v>3</v>
      </c>
    </row>
    <row r="390" spans="1:13" x14ac:dyDescent="0.3">
      <c r="A390">
        <v>100389</v>
      </c>
      <c r="B390">
        <v>58</v>
      </c>
      <c r="C390" t="str">
        <f t="shared" si="6"/>
        <v>41-60</v>
      </c>
      <c r="D390" t="s">
        <v>13</v>
      </c>
      <c r="E390" t="s">
        <v>16</v>
      </c>
      <c r="F390" t="s">
        <v>21</v>
      </c>
      <c r="G390" t="s">
        <v>25</v>
      </c>
      <c r="H390">
        <v>8</v>
      </c>
      <c r="I390">
        <v>181736</v>
      </c>
      <c r="J390" t="s">
        <v>29</v>
      </c>
      <c r="K390" t="s">
        <v>30</v>
      </c>
      <c r="L390" t="s">
        <v>35</v>
      </c>
      <c r="M390">
        <v>4</v>
      </c>
    </row>
    <row r="391" spans="1:13" x14ac:dyDescent="0.3">
      <c r="A391">
        <v>100390</v>
      </c>
      <c r="B391">
        <v>58</v>
      </c>
      <c r="C391" t="str">
        <f t="shared" si="6"/>
        <v>41-60</v>
      </c>
      <c r="D391" t="s">
        <v>13</v>
      </c>
      <c r="E391" t="s">
        <v>16</v>
      </c>
      <c r="F391" t="s">
        <v>21</v>
      </c>
      <c r="G391" t="s">
        <v>26</v>
      </c>
      <c r="H391">
        <v>19</v>
      </c>
      <c r="I391">
        <v>47203</v>
      </c>
      <c r="J391" t="s">
        <v>28</v>
      </c>
      <c r="K391" t="s">
        <v>30</v>
      </c>
      <c r="L391" t="s">
        <v>35</v>
      </c>
      <c r="M391">
        <v>4</v>
      </c>
    </row>
    <row r="392" spans="1:13" x14ac:dyDescent="0.3">
      <c r="A392">
        <v>100391</v>
      </c>
      <c r="B392">
        <v>86</v>
      </c>
      <c r="C392" t="str">
        <f t="shared" si="6"/>
        <v>60+</v>
      </c>
      <c r="D392" t="s">
        <v>12</v>
      </c>
      <c r="E392" t="s">
        <v>17</v>
      </c>
      <c r="F392" t="s">
        <v>23</v>
      </c>
      <c r="G392" t="s">
        <v>27</v>
      </c>
      <c r="H392">
        <v>7</v>
      </c>
      <c r="I392">
        <v>68677</v>
      </c>
      <c r="J392" t="s">
        <v>28</v>
      </c>
      <c r="K392" t="s">
        <v>31</v>
      </c>
      <c r="L392" t="s">
        <v>34</v>
      </c>
      <c r="M392">
        <v>5</v>
      </c>
    </row>
    <row r="393" spans="1:13" x14ac:dyDescent="0.3">
      <c r="A393">
        <v>100392</v>
      </c>
      <c r="B393">
        <v>49</v>
      </c>
      <c r="C393" t="str">
        <f t="shared" si="6"/>
        <v>41-60</v>
      </c>
      <c r="D393" t="s">
        <v>13</v>
      </c>
      <c r="E393" t="s">
        <v>17</v>
      </c>
      <c r="F393" t="s">
        <v>22</v>
      </c>
      <c r="G393" t="s">
        <v>26</v>
      </c>
      <c r="H393">
        <v>17</v>
      </c>
      <c r="I393">
        <v>158497</v>
      </c>
      <c r="J393" t="s">
        <v>28</v>
      </c>
      <c r="K393" t="s">
        <v>8</v>
      </c>
      <c r="L393" t="s">
        <v>35</v>
      </c>
      <c r="M393">
        <v>4</v>
      </c>
    </row>
    <row r="394" spans="1:13" x14ac:dyDescent="0.3">
      <c r="A394">
        <v>100393</v>
      </c>
      <c r="B394">
        <v>52</v>
      </c>
      <c r="C394" t="str">
        <f t="shared" si="6"/>
        <v>41-60</v>
      </c>
      <c r="D394" t="s">
        <v>13</v>
      </c>
      <c r="E394" t="s">
        <v>18</v>
      </c>
      <c r="F394" t="s">
        <v>24</v>
      </c>
      <c r="G394" t="s">
        <v>26</v>
      </c>
      <c r="H394">
        <v>6</v>
      </c>
      <c r="I394">
        <v>125246</v>
      </c>
      <c r="J394" t="s">
        <v>29</v>
      </c>
      <c r="K394" t="s">
        <v>8</v>
      </c>
      <c r="L394" t="s">
        <v>34</v>
      </c>
      <c r="M394">
        <v>1</v>
      </c>
    </row>
    <row r="395" spans="1:13" x14ac:dyDescent="0.3">
      <c r="A395">
        <v>100394</v>
      </c>
      <c r="B395">
        <v>42</v>
      </c>
      <c r="C395" t="str">
        <f t="shared" si="6"/>
        <v>41-60</v>
      </c>
      <c r="D395" t="s">
        <v>13</v>
      </c>
      <c r="E395" t="s">
        <v>18</v>
      </c>
      <c r="F395" t="s">
        <v>21</v>
      </c>
      <c r="G395" t="s">
        <v>26</v>
      </c>
      <c r="H395">
        <v>19</v>
      </c>
      <c r="I395">
        <v>86817</v>
      </c>
      <c r="J395" t="s">
        <v>28</v>
      </c>
      <c r="K395" t="s">
        <v>31</v>
      </c>
      <c r="L395" t="s">
        <v>32</v>
      </c>
      <c r="M395">
        <v>1</v>
      </c>
    </row>
    <row r="396" spans="1:13" x14ac:dyDescent="0.3">
      <c r="A396">
        <v>100395</v>
      </c>
      <c r="B396">
        <v>70</v>
      </c>
      <c r="C396" t="str">
        <f t="shared" si="6"/>
        <v>60+</v>
      </c>
      <c r="D396" t="s">
        <v>12</v>
      </c>
      <c r="E396" t="s">
        <v>17</v>
      </c>
      <c r="F396" t="s">
        <v>22</v>
      </c>
      <c r="G396" t="s">
        <v>27</v>
      </c>
      <c r="H396">
        <v>6</v>
      </c>
      <c r="I396">
        <v>240657</v>
      </c>
      <c r="J396" t="s">
        <v>29</v>
      </c>
      <c r="K396" t="s">
        <v>31</v>
      </c>
      <c r="L396" t="s">
        <v>32</v>
      </c>
      <c r="M396">
        <v>2</v>
      </c>
    </row>
    <row r="397" spans="1:13" x14ac:dyDescent="0.3">
      <c r="A397">
        <v>100396</v>
      </c>
      <c r="B397">
        <v>15</v>
      </c>
      <c r="C397" t="str">
        <f t="shared" si="6"/>
        <v>0-18</v>
      </c>
      <c r="D397" t="s">
        <v>12</v>
      </c>
      <c r="E397" t="s">
        <v>14</v>
      </c>
      <c r="F397" t="s">
        <v>21</v>
      </c>
      <c r="G397" t="s">
        <v>25</v>
      </c>
      <c r="H397">
        <v>2</v>
      </c>
      <c r="I397">
        <v>219033</v>
      </c>
      <c r="J397" t="s">
        <v>28</v>
      </c>
      <c r="K397" t="s">
        <v>8</v>
      </c>
      <c r="L397" t="s">
        <v>35</v>
      </c>
      <c r="M397">
        <v>4</v>
      </c>
    </row>
    <row r="398" spans="1:13" x14ac:dyDescent="0.3">
      <c r="A398">
        <v>100397</v>
      </c>
      <c r="B398">
        <v>54</v>
      </c>
      <c r="C398" t="str">
        <f t="shared" si="6"/>
        <v>41-60</v>
      </c>
      <c r="D398" t="s">
        <v>12</v>
      </c>
      <c r="E398" t="s">
        <v>16</v>
      </c>
      <c r="F398" t="s">
        <v>24</v>
      </c>
      <c r="G398" t="s">
        <v>26</v>
      </c>
      <c r="H398">
        <v>6</v>
      </c>
      <c r="I398">
        <v>233414</v>
      </c>
      <c r="J398" t="s">
        <v>28</v>
      </c>
      <c r="K398" t="s">
        <v>30</v>
      </c>
      <c r="L398" t="s">
        <v>34</v>
      </c>
      <c r="M398">
        <v>2</v>
      </c>
    </row>
    <row r="399" spans="1:13" x14ac:dyDescent="0.3">
      <c r="A399">
        <v>100398</v>
      </c>
      <c r="B399">
        <v>60</v>
      </c>
      <c r="C399" t="str">
        <f t="shared" si="6"/>
        <v>41-60</v>
      </c>
      <c r="D399" t="s">
        <v>13</v>
      </c>
      <c r="E399" t="s">
        <v>15</v>
      </c>
      <c r="F399" t="s">
        <v>21</v>
      </c>
      <c r="G399" t="s">
        <v>26</v>
      </c>
      <c r="H399">
        <v>5</v>
      </c>
      <c r="I399">
        <v>230721</v>
      </c>
      <c r="J399" t="s">
        <v>28</v>
      </c>
      <c r="K399" t="s">
        <v>31</v>
      </c>
      <c r="L399" t="s">
        <v>35</v>
      </c>
      <c r="M399">
        <v>3</v>
      </c>
    </row>
    <row r="400" spans="1:13" x14ac:dyDescent="0.3">
      <c r="A400">
        <v>100399</v>
      </c>
      <c r="B400">
        <v>8</v>
      </c>
      <c r="C400" t="str">
        <f t="shared" si="6"/>
        <v>0-18</v>
      </c>
      <c r="D400" t="s">
        <v>12</v>
      </c>
      <c r="E400" t="s">
        <v>18</v>
      </c>
      <c r="F400" t="s">
        <v>23</v>
      </c>
      <c r="G400" t="s">
        <v>27</v>
      </c>
      <c r="H400">
        <v>19</v>
      </c>
      <c r="I400">
        <v>71806</v>
      </c>
      <c r="J400" t="s">
        <v>28</v>
      </c>
      <c r="K400" t="s">
        <v>8</v>
      </c>
      <c r="L400" t="s">
        <v>34</v>
      </c>
      <c r="M400">
        <v>1</v>
      </c>
    </row>
    <row r="401" spans="1:13" x14ac:dyDescent="0.3">
      <c r="A401">
        <v>100400</v>
      </c>
      <c r="B401">
        <v>53</v>
      </c>
      <c r="C401" t="str">
        <f t="shared" si="6"/>
        <v>41-60</v>
      </c>
      <c r="D401" t="s">
        <v>12</v>
      </c>
      <c r="E401" t="s">
        <v>18</v>
      </c>
      <c r="F401" t="s">
        <v>23</v>
      </c>
      <c r="G401" t="s">
        <v>26</v>
      </c>
      <c r="H401">
        <v>4</v>
      </c>
      <c r="I401">
        <v>44814</v>
      </c>
      <c r="J401" t="s">
        <v>28</v>
      </c>
      <c r="K401" t="s">
        <v>8</v>
      </c>
      <c r="L401" t="s">
        <v>34</v>
      </c>
      <c r="M401">
        <v>3</v>
      </c>
    </row>
    <row r="402" spans="1:13" x14ac:dyDescent="0.3">
      <c r="A402">
        <v>100401</v>
      </c>
      <c r="B402">
        <v>60</v>
      </c>
      <c r="C402" t="str">
        <f t="shared" si="6"/>
        <v>41-60</v>
      </c>
      <c r="D402" t="s">
        <v>13</v>
      </c>
      <c r="E402" t="s">
        <v>17</v>
      </c>
      <c r="F402" t="s">
        <v>21</v>
      </c>
      <c r="G402" t="s">
        <v>25</v>
      </c>
      <c r="H402">
        <v>17</v>
      </c>
      <c r="I402">
        <v>72219</v>
      </c>
      <c r="J402" t="s">
        <v>29</v>
      </c>
      <c r="K402" t="s">
        <v>30</v>
      </c>
      <c r="L402" t="s">
        <v>34</v>
      </c>
      <c r="M402">
        <v>5</v>
      </c>
    </row>
    <row r="403" spans="1:13" x14ac:dyDescent="0.3">
      <c r="A403">
        <v>100402</v>
      </c>
      <c r="B403">
        <v>5</v>
      </c>
      <c r="C403" t="str">
        <f t="shared" si="6"/>
        <v>0-18</v>
      </c>
      <c r="D403" t="s">
        <v>12</v>
      </c>
      <c r="E403" t="s">
        <v>19</v>
      </c>
      <c r="F403" t="s">
        <v>22</v>
      </c>
      <c r="G403" t="s">
        <v>27</v>
      </c>
      <c r="H403">
        <v>11</v>
      </c>
      <c r="I403">
        <v>182718</v>
      </c>
      <c r="J403" t="s">
        <v>28</v>
      </c>
      <c r="K403" t="s">
        <v>30</v>
      </c>
      <c r="L403" t="s">
        <v>32</v>
      </c>
      <c r="M403">
        <v>1</v>
      </c>
    </row>
    <row r="404" spans="1:13" x14ac:dyDescent="0.3">
      <c r="A404">
        <v>100403</v>
      </c>
      <c r="B404">
        <v>68</v>
      </c>
      <c r="C404" t="str">
        <f t="shared" si="6"/>
        <v>60+</v>
      </c>
      <c r="D404" t="s">
        <v>12</v>
      </c>
      <c r="E404" t="s">
        <v>15</v>
      </c>
      <c r="F404" t="s">
        <v>22</v>
      </c>
      <c r="G404" t="s">
        <v>25</v>
      </c>
      <c r="H404">
        <v>4</v>
      </c>
      <c r="I404">
        <v>172956</v>
      </c>
      <c r="J404" t="s">
        <v>28</v>
      </c>
      <c r="K404" t="s">
        <v>30</v>
      </c>
      <c r="L404" t="s">
        <v>34</v>
      </c>
      <c r="M404">
        <v>3</v>
      </c>
    </row>
    <row r="405" spans="1:13" x14ac:dyDescent="0.3">
      <c r="A405">
        <v>100404</v>
      </c>
      <c r="B405">
        <v>6</v>
      </c>
      <c r="C405" t="str">
        <f t="shared" si="6"/>
        <v>0-18</v>
      </c>
      <c r="D405" t="s">
        <v>13</v>
      </c>
      <c r="E405" t="s">
        <v>15</v>
      </c>
      <c r="F405" t="s">
        <v>22</v>
      </c>
      <c r="G405" t="s">
        <v>25</v>
      </c>
      <c r="H405">
        <v>13</v>
      </c>
      <c r="I405">
        <v>97345</v>
      </c>
      <c r="J405" t="s">
        <v>29</v>
      </c>
      <c r="K405" t="s">
        <v>30</v>
      </c>
      <c r="L405" t="s">
        <v>32</v>
      </c>
      <c r="M405">
        <v>5</v>
      </c>
    </row>
    <row r="406" spans="1:13" x14ac:dyDescent="0.3">
      <c r="A406">
        <v>100405</v>
      </c>
      <c r="B406">
        <v>47</v>
      </c>
      <c r="C406" t="str">
        <f t="shared" si="6"/>
        <v>41-60</v>
      </c>
      <c r="D406" t="s">
        <v>13</v>
      </c>
      <c r="E406" t="s">
        <v>18</v>
      </c>
      <c r="F406" t="s">
        <v>21</v>
      </c>
      <c r="G406" t="s">
        <v>27</v>
      </c>
      <c r="H406">
        <v>17</v>
      </c>
      <c r="I406">
        <v>102088</v>
      </c>
      <c r="J406" t="s">
        <v>29</v>
      </c>
      <c r="K406" t="s">
        <v>30</v>
      </c>
      <c r="L406" t="s">
        <v>34</v>
      </c>
      <c r="M406">
        <v>3</v>
      </c>
    </row>
    <row r="407" spans="1:13" x14ac:dyDescent="0.3">
      <c r="A407">
        <v>100406</v>
      </c>
      <c r="B407">
        <v>55</v>
      </c>
      <c r="C407" t="str">
        <f t="shared" si="6"/>
        <v>41-60</v>
      </c>
      <c r="D407" t="s">
        <v>13</v>
      </c>
      <c r="E407" t="s">
        <v>14</v>
      </c>
      <c r="F407" t="s">
        <v>22</v>
      </c>
      <c r="G407" t="s">
        <v>26</v>
      </c>
      <c r="H407">
        <v>9</v>
      </c>
      <c r="I407">
        <v>71322</v>
      </c>
      <c r="J407" t="s">
        <v>29</v>
      </c>
      <c r="K407" t="s">
        <v>31</v>
      </c>
      <c r="L407" t="s">
        <v>32</v>
      </c>
      <c r="M407">
        <v>5</v>
      </c>
    </row>
    <row r="408" spans="1:13" x14ac:dyDescent="0.3">
      <c r="A408">
        <v>100407</v>
      </c>
      <c r="B408">
        <v>40</v>
      </c>
      <c r="C408" t="str">
        <f t="shared" si="6"/>
        <v>19-40</v>
      </c>
      <c r="D408" t="s">
        <v>12</v>
      </c>
      <c r="E408" t="s">
        <v>19</v>
      </c>
      <c r="F408" t="s">
        <v>24</v>
      </c>
      <c r="G408" t="s">
        <v>25</v>
      </c>
      <c r="H408">
        <v>4</v>
      </c>
      <c r="I408">
        <v>23650</v>
      </c>
      <c r="J408" t="s">
        <v>28</v>
      </c>
      <c r="K408" t="s">
        <v>8</v>
      </c>
      <c r="L408" t="s">
        <v>33</v>
      </c>
      <c r="M408">
        <v>5</v>
      </c>
    </row>
    <row r="409" spans="1:13" x14ac:dyDescent="0.3">
      <c r="A409">
        <v>100408</v>
      </c>
      <c r="B409">
        <v>52</v>
      </c>
      <c r="C409" t="str">
        <f t="shared" si="6"/>
        <v>41-60</v>
      </c>
      <c r="D409" t="s">
        <v>12</v>
      </c>
      <c r="E409" t="s">
        <v>15</v>
      </c>
      <c r="F409" t="s">
        <v>23</v>
      </c>
      <c r="G409" t="s">
        <v>25</v>
      </c>
      <c r="H409">
        <v>14</v>
      </c>
      <c r="I409">
        <v>96242</v>
      </c>
      <c r="J409" t="s">
        <v>28</v>
      </c>
      <c r="K409" t="s">
        <v>31</v>
      </c>
      <c r="L409" t="s">
        <v>32</v>
      </c>
      <c r="M409">
        <v>1</v>
      </c>
    </row>
    <row r="410" spans="1:13" x14ac:dyDescent="0.3">
      <c r="A410">
        <v>100409</v>
      </c>
      <c r="B410">
        <v>16</v>
      </c>
      <c r="C410" t="str">
        <f t="shared" si="6"/>
        <v>0-18</v>
      </c>
      <c r="D410" t="s">
        <v>12</v>
      </c>
      <c r="E410" t="s">
        <v>18</v>
      </c>
      <c r="F410" t="s">
        <v>24</v>
      </c>
      <c r="G410" t="s">
        <v>25</v>
      </c>
      <c r="H410">
        <v>19</v>
      </c>
      <c r="I410">
        <v>142262</v>
      </c>
      <c r="J410" t="s">
        <v>28</v>
      </c>
      <c r="K410" t="s">
        <v>31</v>
      </c>
      <c r="L410" t="s">
        <v>32</v>
      </c>
      <c r="M410">
        <v>2</v>
      </c>
    </row>
    <row r="411" spans="1:13" x14ac:dyDescent="0.3">
      <c r="A411">
        <v>100410</v>
      </c>
      <c r="B411">
        <v>13</v>
      </c>
      <c r="C411" t="str">
        <f t="shared" si="6"/>
        <v>0-18</v>
      </c>
      <c r="D411" t="s">
        <v>13</v>
      </c>
      <c r="E411" t="s">
        <v>15</v>
      </c>
      <c r="F411" t="s">
        <v>22</v>
      </c>
      <c r="G411" t="s">
        <v>25</v>
      </c>
      <c r="H411">
        <v>3</v>
      </c>
      <c r="I411">
        <v>40196</v>
      </c>
      <c r="J411" t="s">
        <v>28</v>
      </c>
      <c r="K411" t="s">
        <v>31</v>
      </c>
      <c r="L411" t="s">
        <v>35</v>
      </c>
      <c r="M411">
        <v>5</v>
      </c>
    </row>
    <row r="412" spans="1:13" x14ac:dyDescent="0.3">
      <c r="A412">
        <v>100411</v>
      </c>
      <c r="B412">
        <v>30</v>
      </c>
      <c r="C412" t="str">
        <f t="shared" si="6"/>
        <v>19-40</v>
      </c>
      <c r="D412" t="s">
        <v>13</v>
      </c>
      <c r="E412" t="s">
        <v>19</v>
      </c>
      <c r="F412" t="s">
        <v>24</v>
      </c>
      <c r="G412" t="s">
        <v>27</v>
      </c>
      <c r="H412">
        <v>14</v>
      </c>
      <c r="I412">
        <v>172521</v>
      </c>
      <c r="J412" t="s">
        <v>28</v>
      </c>
      <c r="K412" t="s">
        <v>31</v>
      </c>
      <c r="L412" t="s">
        <v>34</v>
      </c>
      <c r="M412">
        <v>5</v>
      </c>
    </row>
    <row r="413" spans="1:13" x14ac:dyDescent="0.3">
      <c r="A413">
        <v>100412</v>
      </c>
      <c r="B413">
        <v>19</v>
      </c>
      <c r="C413" t="str">
        <f t="shared" si="6"/>
        <v>19-40</v>
      </c>
      <c r="D413" t="s">
        <v>12</v>
      </c>
      <c r="E413" t="s">
        <v>19</v>
      </c>
      <c r="F413" t="s">
        <v>22</v>
      </c>
      <c r="G413" t="s">
        <v>27</v>
      </c>
      <c r="H413">
        <v>8</v>
      </c>
      <c r="I413">
        <v>172733</v>
      </c>
      <c r="J413" t="s">
        <v>28</v>
      </c>
      <c r="K413" t="s">
        <v>31</v>
      </c>
      <c r="L413" t="s">
        <v>33</v>
      </c>
      <c r="M413">
        <v>1</v>
      </c>
    </row>
    <row r="414" spans="1:13" x14ac:dyDescent="0.3">
      <c r="A414">
        <v>100413</v>
      </c>
      <c r="B414">
        <v>17</v>
      </c>
      <c r="C414" t="str">
        <f t="shared" si="6"/>
        <v>0-18</v>
      </c>
      <c r="D414" t="s">
        <v>12</v>
      </c>
      <c r="E414" t="s">
        <v>16</v>
      </c>
      <c r="F414" t="s">
        <v>21</v>
      </c>
      <c r="G414" t="s">
        <v>25</v>
      </c>
      <c r="H414">
        <v>1</v>
      </c>
      <c r="I414">
        <v>31709</v>
      </c>
      <c r="J414" t="s">
        <v>29</v>
      </c>
      <c r="K414" t="s">
        <v>30</v>
      </c>
      <c r="L414" t="s">
        <v>35</v>
      </c>
      <c r="M414">
        <v>2</v>
      </c>
    </row>
    <row r="415" spans="1:13" x14ac:dyDescent="0.3">
      <c r="A415">
        <v>100414</v>
      </c>
      <c r="B415">
        <v>63</v>
      </c>
      <c r="C415" t="str">
        <f t="shared" si="6"/>
        <v>60+</v>
      </c>
      <c r="D415" t="s">
        <v>13</v>
      </c>
      <c r="E415" t="s">
        <v>17</v>
      </c>
      <c r="F415" t="s">
        <v>24</v>
      </c>
      <c r="G415" t="s">
        <v>26</v>
      </c>
      <c r="H415">
        <v>10</v>
      </c>
      <c r="I415">
        <v>244037</v>
      </c>
      <c r="J415" t="s">
        <v>29</v>
      </c>
      <c r="K415" t="s">
        <v>30</v>
      </c>
      <c r="L415" t="s">
        <v>34</v>
      </c>
      <c r="M415">
        <v>4</v>
      </c>
    </row>
    <row r="416" spans="1:13" x14ac:dyDescent="0.3">
      <c r="A416">
        <v>100415</v>
      </c>
      <c r="B416">
        <v>19</v>
      </c>
      <c r="C416" t="str">
        <f t="shared" si="6"/>
        <v>19-40</v>
      </c>
      <c r="D416" t="s">
        <v>13</v>
      </c>
      <c r="E416" t="s">
        <v>17</v>
      </c>
      <c r="F416" t="s">
        <v>21</v>
      </c>
      <c r="G416" t="s">
        <v>25</v>
      </c>
      <c r="H416">
        <v>18</v>
      </c>
      <c r="I416">
        <v>82428</v>
      </c>
      <c r="J416" t="s">
        <v>28</v>
      </c>
      <c r="K416" t="s">
        <v>8</v>
      </c>
      <c r="L416" t="s">
        <v>33</v>
      </c>
      <c r="M416">
        <v>4</v>
      </c>
    </row>
    <row r="417" spans="1:13" x14ac:dyDescent="0.3">
      <c r="A417">
        <v>100416</v>
      </c>
      <c r="B417">
        <v>58</v>
      </c>
      <c r="C417" t="str">
        <f t="shared" si="6"/>
        <v>41-60</v>
      </c>
      <c r="D417" t="s">
        <v>13</v>
      </c>
      <c r="E417" t="s">
        <v>18</v>
      </c>
      <c r="F417" t="s">
        <v>21</v>
      </c>
      <c r="G417" t="s">
        <v>26</v>
      </c>
      <c r="H417">
        <v>16</v>
      </c>
      <c r="I417">
        <v>208251</v>
      </c>
      <c r="J417" t="s">
        <v>28</v>
      </c>
      <c r="K417" t="s">
        <v>31</v>
      </c>
      <c r="L417" t="s">
        <v>33</v>
      </c>
      <c r="M417">
        <v>2</v>
      </c>
    </row>
    <row r="418" spans="1:13" x14ac:dyDescent="0.3">
      <c r="A418">
        <v>100417</v>
      </c>
      <c r="B418">
        <v>55</v>
      </c>
      <c r="C418" t="str">
        <f t="shared" si="6"/>
        <v>41-60</v>
      </c>
      <c r="D418" t="s">
        <v>13</v>
      </c>
      <c r="E418" t="s">
        <v>19</v>
      </c>
      <c r="F418" t="s">
        <v>20</v>
      </c>
      <c r="G418" t="s">
        <v>25</v>
      </c>
      <c r="H418">
        <v>8</v>
      </c>
      <c r="I418">
        <v>11943</v>
      </c>
      <c r="J418" t="s">
        <v>28</v>
      </c>
      <c r="K418" t="s">
        <v>8</v>
      </c>
      <c r="L418" t="s">
        <v>33</v>
      </c>
      <c r="M418">
        <v>3</v>
      </c>
    </row>
    <row r="419" spans="1:13" x14ac:dyDescent="0.3">
      <c r="A419">
        <v>100418</v>
      </c>
      <c r="B419">
        <v>62</v>
      </c>
      <c r="C419" t="str">
        <f t="shared" si="6"/>
        <v>60+</v>
      </c>
      <c r="D419" t="s">
        <v>12</v>
      </c>
      <c r="E419" t="s">
        <v>16</v>
      </c>
      <c r="F419" t="s">
        <v>22</v>
      </c>
      <c r="G419" t="s">
        <v>26</v>
      </c>
      <c r="H419">
        <v>1</v>
      </c>
      <c r="I419">
        <v>176312</v>
      </c>
      <c r="J419" t="s">
        <v>28</v>
      </c>
      <c r="K419" t="s">
        <v>30</v>
      </c>
      <c r="L419" t="s">
        <v>34</v>
      </c>
      <c r="M419">
        <v>1</v>
      </c>
    </row>
    <row r="420" spans="1:13" x14ac:dyDescent="0.3">
      <c r="A420">
        <v>100419</v>
      </c>
      <c r="B420">
        <v>23</v>
      </c>
      <c r="C420" t="str">
        <f t="shared" si="6"/>
        <v>19-40</v>
      </c>
      <c r="D420" t="s">
        <v>13</v>
      </c>
      <c r="E420" t="s">
        <v>16</v>
      </c>
      <c r="F420" t="s">
        <v>23</v>
      </c>
      <c r="G420" t="s">
        <v>25</v>
      </c>
      <c r="H420">
        <v>12</v>
      </c>
      <c r="I420">
        <v>178832</v>
      </c>
      <c r="J420" t="s">
        <v>28</v>
      </c>
      <c r="K420" t="s">
        <v>30</v>
      </c>
      <c r="L420" t="s">
        <v>33</v>
      </c>
      <c r="M420">
        <v>2</v>
      </c>
    </row>
    <row r="421" spans="1:13" x14ac:dyDescent="0.3">
      <c r="A421">
        <v>100420</v>
      </c>
      <c r="B421">
        <v>9</v>
      </c>
      <c r="C421" t="str">
        <f t="shared" si="6"/>
        <v>0-18</v>
      </c>
      <c r="D421" t="s">
        <v>12</v>
      </c>
      <c r="E421" t="s">
        <v>15</v>
      </c>
      <c r="F421" t="s">
        <v>22</v>
      </c>
      <c r="G421" t="s">
        <v>26</v>
      </c>
      <c r="H421">
        <v>8</v>
      </c>
      <c r="I421">
        <v>23042</v>
      </c>
      <c r="J421" t="s">
        <v>29</v>
      </c>
      <c r="K421" t="s">
        <v>30</v>
      </c>
      <c r="L421" t="s">
        <v>33</v>
      </c>
      <c r="M421">
        <v>4</v>
      </c>
    </row>
    <row r="422" spans="1:13" x14ac:dyDescent="0.3">
      <c r="A422">
        <v>100421</v>
      </c>
      <c r="B422">
        <v>12</v>
      </c>
      <c r="C422" t="str">
        <f t="shared" si="6"/>
        <v>0-18</v>
      </c>
      <c r="D422" t="s">
        <v>12</v>
      </c>
      <c r="E422" t="s">
        <v>15</v>
      </c>
      <c r="F422" t="s">
        <v>23</v>
      </c>
      <c r="G422" t="s">
        <v>25</v>
      </c>
      <c r="H422">
        <v>16</v>
      </c>
      <c r="I422">
        <v>45894</v>
      </c>
      <c r="J422" t="s">
        <v>29</v>
      </c>
      <c r="K422" t="s">
        <v>31</v>
      </c>
      <c r="L422" t="s">
        <v>35</v>
      </c>
      <c r="M422">
        <v>5</v>
      </c>
    </row>
    <row r="423" spans="1:13" x14ac:dyDescent="0.3">
      <c r="A423">
        <v>100422</v>
      </c>
      <c r="B423">
        <v>1</v>
      </c>
      <c r="C423" t="str">
        <f t="shared" si="6"/>
        <v>0-18</v>
      </c>
      <c r="D423" t="s">
        <v>12</v>
      </c>
      <c r="E423" t="s">
        <v>16</v>
      </c>
      <c r="F423" t="s">
        <v>22</v>
      </c>
      <c r="G423" t="s">
        <v>25</v>
      </c>
      <c r="H423">
        <v>18</v>
      </c>
      <c r="I423">
        <v>139941</v>
      </c>
      <c r="J423" t="s">
        <v>28</v>
      </c>
      <c r="K423" t="s">
        <v>31</v>
      </c>
      <c r="L423" t="s">
        <v>32</v>
      </c>
      <c r="M423">
        <v>4</v>
      </c>
    </row>
    <row r="424" spans="1:13" x14ac:dyDescent="0.3">
      <c r="A424">
        <v>100423</v>
      </c>
      <c r="B424">
        <v>58</v>
      </c>
      <c r="C424" t="str">
        <f t="shared" si="6"/>
        <v>41-60</v>
      </c>
      <c r="D424" t="s">
        <v>13</v>
      </c>
      <c r="E424" t="s">
        <v>15</v>
      </c>
      <c r="F424" t="s">
        <v>21</v>
      </c>
      <c r="G424" t="s">
        <v>26</v>
      </c>
      <c r="H424">
        <v>4</v>
      </c>
      <c r="I424">
        <v>194150</v>
      </c>
      <c r="J424" t="s">
        <v>29</v>
      </c>
      <c r="K424" t="s">
        <v>30</v>
      </c>
      <c r="L424" t="s">
        <v>34</v>
      </c>
      <c r="M424">
        <v>5</v>
      </c>
    </row>
    <row r="425" spans="1:13" x14ac:dyDescent="0.3">
      <c r="A425">
        <v>100424</v>
      </c>
      <c r="B425">
        <v>1</v>
      </c>
      <c r="C425" t="str">
        <f t="shared" si="6"/>
        <v>0-18</v>
      </c>
      <c r="D425" t="s">
        <v>13</v>
      </c>
      <c r="E425" t="s">
        <v>19</v>
      </c>
      <c r="F425" t="s">
        <v>24</v>
      </c>
      <c r="G425" t="s">
        <v>27</v>
      </c>
      <c r="H425">
        <v>6</v>
      </c>
      <c r="I425">
        <v>58759</v>
      </c>
      <c r="J425" t="s">
        <v>28</v>
      </c>
      <c r="K425" t="s">
        <v>8</v>
      </c>
      <c r="L425" t="s">
        <v>32</v>
      </c>
      <c r="M425">
        <v>1</v>
      </c>
    </row>
    <row r="426" spans="1:13" x14ac:dyDescent="0.3">
      <c r="A426">
        <v>100425</v>
      </c>
      <c r="B426">
        <v>34</v>
      </c>
      <c r="C426" t="str">
        <f t="shared" si="6"/>
        <v>19-40</v>
      </c>
      <c r="D426" t="s">
        <v>13</v>
      </c>
      <c r="E426" t="s">
        <v>14</v>
      </c>
      <c r="F426" t="s">
        <v>24</v>
      </c>
      <c r="G426" t="s">
        <v>26</v>
      </c>
      <c r="H426">
        <v>12</v>
      </c>
      <c r="I426">
        <v>107973</v>
      </c>
      <c r="J426" t="s">
        <v>28</v>
      </c>
      <c r="K426" t="s">
        <v>8</v>
      </c>
      <c r="L426" t="s">
        <v>35</v>
      </c>
      <c r="M426">
        <v>5</v>
      </c>
    </row>
    <row r="427" spans="1:13" x14ac:dyDescent="0.3">
      <c r="A427">
        <v>100426</v>
      </c>
      <c r="B427">
        <v>48</v>
      </c>
      <c r="C427" t="str">
        <f t="shared" si="6"/>
        <v>41-60</v>
      </c>
      <c r="D427" t="s">
        <v>13</v>
      </c>
      <c r="E427" t="s">
        <v>19</v>
      </c>
      <c r="F427" t="s">
        <v>20</v>
      </c>
      <c r="G427" t="s">
        <v>27</v>
      </c>
      <c r="H427">
        <v>9</v>
      </c>
      <c r="I427">
        <v>46306</v>
      </c>
      <c r="J427" t="s">
        <v>28</v>
      </c>
      <c r="K427" t="s">
        <v>30</v>
      </c>
      <c r="L427" t="s">
        <v>32</v>
      </c>
      <c r="M427">
        <v>2</v>
      </c>
    </row>
    <row r="428" spans="1:13" x14ac:dyDescent="0.3">
      <c r="A428">
        <v>100427</v>
      </c>
      <c r="B428">
        <v>89</v>
      </c>
      <c r="C428" t="str">
        <f t="shared" si="6"/>
        <v>60+</v>
      </c>
      <c r="D428" t="s">
        <v>12</v>
      </c>
      <c r="E428" t="s">
        <v>16</v>
      </c>
      <c r="F428" t="s">
        <v>23</v>
      </c>
      <c r="G428" t="s">
        <v>25</v>
      </c>
      <c r="H428">
        <v>15</v>
      </c>
      <c r="I428">
        <v>110369</v>
      </c>
      <c r="J428" t="s">
        <v>29</v>
      </c>
      <c r="K428" t="s">
        <v>8</v>
      </c>
      <c r="L428" t="s">
        <v>33</v>
      </c>
      <c r="M428">
        <v>5</v>
      </c>
    </row>
    <row r="429" spans="1:13" x14ac:dyDescent="0.3">
      <c r="A429">
        <v>100428</v>
      </c>
      <c r="B429">
        <v>1</v>
      </c>
      <c r="C429" t="str">
        <f t="shared" si="6"/>
        <v>0-18</v>
      </c>
      <c r="D429" t="s">
        <v>13</v>
      </c>
      <c r="E429" t="s">
        <v>16</v>
      </c>
      <c r="F429" t="s">
        <v>23</v>
      </c>
      <c r="G429" t="s">
        <v>26</v>
      </c>
      <c r="H429">
        <v>16</v>
      </c>
      <c r="I429">
        <v>188443</v>
      </c>
      <c r="J429" t="s">
        <v>29</v>
      </c>
      <c r="K429" t="s">
        <v>30</v>
      </c>
      <c r="L429" t="s">
        <v>33</v>
      </c>
      <c r="M429">
        <v>3</v>
      </c>
    </row>
    <row r="430" spans="1:13" x14ac:dyDescent="0.3">
      <c r="A430">
        <v>100429</v>
      </c>
      <c r="B430">
        <v>16</v>
      </c>
      <c r="C430" t="str">
        <f t="shared" si="6"/>
        <v>0-18</v>
      </c>
      <c r="D430" t="s">
        <v>13</v>
      </c>
      <c r="E430" t="s">
        <v>19</v>
      </c>
      <c r="F430" t="s">
        <v>23</v>
      </c>
      <c r="G430" t="s">
        <v>26</v>
      </c>
      <c r="H430">
        <v>12</v>
      </c>
      <c r="I430">
        <v>153990</v>
      </c>
      <c r="J430" t="s">
        <v>28</v>
      </c>
      <c r="K430" t="s">
        <v>8</v>
      </c>
      <c r="L430" t="s">
        <v>34</v>
      </c>
      <c r="M430">
        <v>2</v>
      </c>
    </row>
    <row r="431" spans="1:13" x14ac:dyDescent="0.3">
      <c r="A431">
        <v>100430</v>
      </c>
      <c r="B431">
        <v>61</v>
      </c>
      <c r="C431" t="str">
        <f t="shared" si="6"/>
        <v>60+</v>
      </c>
      <c r="D431" t="s">
        <v>12</v>
      </c>
      <c r="E431" t="s">
        <v>15</v>
      </c>
      <c r="F431" t="s">
        <v>21</v>
      </c>
      <c r="G431" t="s">
        <v>26</v>
      </c>
      <c r="H431">
        <v>14</v>
      </c>
      <c r="I431">
        <v>30379</v>
      </c>
      <c r="J431" t="s">
        <v>29</v>
      </c>
      <c r="K431" t="s">
        <v>30</v>
      </c>
      <c r="L431" t="s">
        <v>34</v>
      </c>
      <c r="M431">
        <v>1</v>
      </c>
    </row>
    <row r="432" spans="1:13" x14ac:dyDescent="0.3">
      <c r="A432">
        <v>100431</v>
      </c>
      <c r="B432">
        <v>64</v>
      </c>
      <c r="C432" t="str">
        <f t="shared" si="6"/>
        <v>60+</v>
      </c>
      <c r="D432" t="s">
        <v>13</v>
      </c>
      <c r="E432" t="s">
        <v>15</v>
      </c>
      <c r="F432" t="s">
        <v>23</v>
      </c>
      <c r="G432" t="s">
        <v>27</v>
      </c>
      <c r="H432">
        <v>13</v>
      </c>
      <c r="I432">
        <v>122667</v>
      </c>
      <c r="J432" t="s">
        <v>29</v>
      </c>
      <c r="K432" t="s">
        <v>8</v>
      </c>
      <c r="L432" t="s">
        <v>34</v>
      </c>
      <c r="M432">
        <v>2</v>
      </c>
    </row>
    <row r="433" spans="1:13" x14ac:dyDescent="0.3">
      <c r="A433">
        <v>100432</v>
      </c>
      <c r="B433">
        <v>63</v>
      </c>
      <c r="C433" t="str">
        <f t="shared" si="6"/>
        <v>60+</v>
      </c>
      <c r="D433" t="s">
        <v>12</v>
      </c>
      <c r="E433" t="s">
        <v>17</v>
      </c>
      <c r="F433" t="s">
        <v>24</v>
      </c>
      <c r="G433" t="s">
        <v>27</v>
      </c>
      <c r="H433">
        <v>2</v>
      </c>
      <c r="I433">
        <v>241547</v>
      </c>
      <c r="J433" t="s">
        <v>28</v>
      </c>
      <c r="K433" t="s">
        <v>31</v>
      </c>
      <c r="L433" t="s">
        <v>35</v>
      </c>
      <c r="M433">
        <v>3</v>
      </c>
    </row>
    <row r="434" spans="1:13" x14ac:dyDescent="0.3">
      <c r="A434">
        <v>100433</v>
      </c>
      <c r="B434">
        <v>69</v>
      </c>
      <c r="C434" t="str">
        <f t="shared" si="6"/>
        <v>60+</v>
      </c>
      <c r="D434" t="s">
        <v>12</v>
      </c>
      <c r="E434" t="s">
        <v>16</v>
      </c>
      <c r="F434" t="s">
        <v>21</v>
      </c>
      <c r="G434" t="s">
        <v>25</v>
      </c>
      <c r="H434">
        <v>3</v>
      </c>
      <c r="I434">
        <v>223882</v>
      </c>
      <c r="J434" t="s">
        <v>29</v>
      </c>
      <c r="K434" t="s">
        <v>30</v>
      </c>
      <c r="L434" t="s">
        <v>34</v>
      </c>
      <c r="M434">
        <v>1</v>
      </c>
    </row>
    <row r="435" spans="1:13" x14ac:dyDescent="0.3">
      <c r="A435">
        <v>100434</v>
      </c>
      <c r="B435">
        <v>22</v>
      </c>
      <c r="C435" t="str">
        <f t="shared" si="6"/>
        <v>19-40</v>
      </c>
      <c r="D435" t="s">
        <v>12</v>
      </c>
      <c r="E435" t="s">
        <v>18</v>
      </c>
      <c r="F435" t="s">
        <v>22</v>
      </c>
      <c r="G435" t="s">
        <v>27</v>
      </c>
      <c r="H435">
        <v>10</v>
      </c>
      <c r="I435">
        <v>216304</v>
      </c>
      <c r="J435" t="s">
        <v>29</v>
      </c>
      <c r="K435" t="s">
        <v>30</v>
      </c>
      <c r="L435" t="s">
        <v>35</v>
      </c>
      <c r="M435">
        <v>4</v>
      </c>
    </row>
    <row r="436" spans="1:13" x14ac:dyDescent="0.3">
      <c r="A436">
        <v>100435</v>
      </c>
      <c r="B436">
        <v>67</v>
      </c>
      <c r="C436" t="str">
        <f t="shared" si="6"/>
        <v>60+</v>
      </c>
      <c r="D436" t="s">
        <v>12</v>
      </c>
      <c r="E436" t="s">
        <v>17</v>
      </c>
      <c r="F436" t="s">
        <v>23</v>
      </c>
      <c r="G436" t="s">
        <v>27</v>
      </c>
      <c r="H436">
        <v>9</v>
      </c>
      <c r="I436">
        <v>136034</v>
      </c>
      <c r="J436" t="s">
        <v>28</v>
      </c>
      <c r="K436" t="s">
        <v>8</v>
      </c>
      <c r="L436" t="s">
        <v>33</v>
      </c>
      <c r="M436">
        <v>3</v>
      </c>
    </row>
    <row r="437" spans="1:13" x14ac:dyDescent="0.3">
      <c r="A437">
        <v>100436</v>
      </c>
      <c r="B437">
        <v>76</v>
      </c>
      <c r="C437" t="str">
        <f t="shared" si="6"/>
        <v>60+</v>
      </c>
      <c r="D437" t="s">
        <v>12</v>
      </c>
      <c r="E437" t="s">
        <v>15</v>
      </c>
      <c r="F437" t="s">
        <v>23</v>
      </c>
      <c r="G437" t="s">
        <v>25</v>
      </c>
      <c r="H437">
        <v>8</v>
      </c>
      <c r="I437">
        <v>146923</v>
      </c>
      <c r="J437" t="s">
        <v>28</v>
      </c>
      <c r="K437" t="s">
        <v>30</v>
      </c>
      <c r="L437" t="s">
        <v>32</v>
      </c>
      <c r="M437">
        <v>1</v>
      </c>
    </row>
    <row r="438" spans="1:13" x14ac:dyDescent="0.3">
      <c r="A438">
        <v>100437</v>
      </c>
      <c r="B438">
        <v>26</v>
      </c>
      <c r="C438" t="str">
        <f t="shared" si="6"/>
        <v>19-40</v>
      </c>
      <c r="D438" t="s">
        <v>12</v>
      </c>
      <c r="E438" t="s">
        <v>19</v>
      </c>
      <c r="F438" t="s">
        <v>22</v>
      </c>
      <c r="G438" t="s">
        <v>26</v>
      </c>
      <c r="H438">
        <v>10</v>
      </c>
      <c r="I438">
        <v>119626</v>
      </c>
      <c r="J438" t="s">
        <v>29</v>
      </c>
      <c r="K438" t="s">
        <v>30</v>
      </c>
      <c r="L438" t="s">
        <v>33</v>
      </c>
      <c r="M438">
        <v>5</v>
      </c>
    </row>
    <row r="439" spans="1:13" x14ac:dyDescent="0.3">
      <c r="A439">
        <v>100438</v>
      </c>
      <c r="B439">
        <v>16</v>
      </c>
      <c r="C439" t="str">
        <f t="shared" si="6"/>
        <v>0-18</v>
      </c>
      <c r="D439" t="s">
        <v>12</v>
      </c>
      <c r="E439" t="s">
        <v>15</v>
      </c>
      <c r="F439" t="s">
        <v>23</v>
      </c>
      <c r="G439" t="s">
        <v>26</v>
      </c>
      <c r="H439">
        <v>19</v>
      </c>
      <c r="I439">
        <v>178819</v>
      </c>
      <c r="J439" t="s">
        <v>28</v>
      </c>
      <c r="K439" t="s">
        <v>30</v>
      </c>
      <c r="L439" t="s">
        <v>33</v>
      </c>
      <c r="M439">
        <v>2</v>
      </c>
    </row>
    <row r="440" spans="1:13" x14ac:dyDescent="0.3">
      <c r="A440">
        <v>100439</v>
      </c>
      <c r="B440">
        <v>51</v>
      </c>
      <c r="C440" t="str">
        <f t="shared" si="6"/>
        <v>41-60</v>
      </c>
      <c r="D440" t="s">
        <v>12</v>
      </c>
      <c r="E440" t="s">
        <v>19</v>
      </c>
      <c r="F440" t="s">
        <v>22</v>
      </c>
      <c r="G440" t="s">
        <v>25</v>
      </c>
      <c r="H440">
        <v>3</v>
      </c>
      <c r="I440">
        <v>127180</v>
      </c>
      <c r="J440" t="s">
        <v>29</v>
      </c>
      <c r="K440" t="s">
        <v>31</v>
      </c>
      <c r="L440" t="s">
        <v>33</v>
      </c>
      <c r="M440">
        <v>1</v>
      </c>
    </row>
    <row r="441" spans="1:13" x14ac:dyDescent="0.3">
      <c r="A441">
        <v>100440</v>
      </c>
      <c r="B441">
        <v>86</v>
      </c>
      <c r="C441" t="str">
        <f t="shared" si="6"/>
        <v>60+</v>
      </c>
      <c r="D441" t="s">
        <v>13</v>
      </c>
      <c r="E441" t="s">
        <v>17</v>
      </c>
      <c r="F441" t="s">
        <v>21</v>
      </c>
      <c r="G441" t="s">
        <v>26</v>
      </c>
      <c r="H441">
        <v>5</v>
      </c>
      <c r="I441">
        <v>54349</v>
      </c>
      <c r="J441" t="s">
        <v>28</v>
      </c>
      <c r="K441" t="s">
        <v>31</v>
      </c>
      <c r="L441" t="s">
        <v>34</v>
      </c>
      <c r="M441">
        <v>2</v>
      </c>
    </row>
    <row r="442" spans="1:13" x14ac:dyDescent="0.3">
      <c r="A442">
        <v>100441</v>
      </c>
      <c r="B442">
        <v>57</v>
      </c>
      <c r="C442" t="str">
        <f t="shared" si="6"/>
        <v>41-60</v>
      </c>
      <c r="D442" t="s">
        <v>13</v>
      </c>
      <c r="E442" t="s">
        <v>16</v>
      </c>
      <c r="F442" t="s">
        <v>24</v>
      </c>
      <c r="G442" t="s">
        <v>27</v>
      </c>
      <c r="H442">
        <v>3</v>
      </c>
      <c r="I442">
        <v>203904</v>
      </c>
      <c r="J442" t="s">
        <v>28</v>
      </c>
      <c r="K442" t="s">
        <v>8</v>
      </c>
      <c r="L442" t="s">
        <v>34</v>
      </c>
      <c r="M442">
        <v>5</v>
      </c>
    </row>
    <row r="443" spans="1:13" x14ac:dyDescent="0.3">
      <c r="A443">
        <v>100442</v>
      </c>
      <c r="B443">
        <v>29</v>
      </c>
      <c r="C443" t="str">
        <f t="shared" si="6"/>
        <v>19-40</v>
      </c>
      <c r="D443" t="s">
        <v>13</v>
      </c>
      <c r="E443" t="s">
        <v>15</v>
      </c>
      <c r="F443" t="s">
        <v>22</v>
      </c>
      <c r="G443" t="s">
        <v>25</v>
      </c>
      <c r="H443">
        <v>16</v>
      </c>
      <c r="I443">
        <v>189428</v>
      </c>
      <c r="J443" t="s">
        <v>28</v>
      </c>
      <c r="K443" t="s">
        <v>31</v>
      </c>
      <c r="L443" t="s">
        <v>34</v>
      </c>
      <c r="M443">
        <v>1</v>
      </c>
    </row>
    <row r="444" spans="1:13" x14ac:dyDescent="0.3">
      <c r="A444">
        <v>100443</v>
      </c>
      <c r="B444">
        <v>78</v>
      </c>
      <c r="C444" t="str">
        <f t="shared" si="6"/>
        <v>60+</v>
      </c>
      <c r="D444" t="s">
        <v>13</v>
      </c>
      <c r="E444" t="s">
        <v>19</v>
      </c>
      <c r="F444" t="s">
        <v>20</v>
      </c>
      <c r="G444" t="s">
        <v>25</v>
      </c>
      <c r="H444">
        <v>17</v>
      </c>
      <c r="I444">
        <v>147817</v>
      </c>
      <c r="J444" t="s">
        <v>28</v>
      </c>
      <c r="K444" t="s">
        <v>8</v>
      </c>
      <c r="L444" t="s">
        <v>32</v>
      </c>
      <c r="M444">
        <v>4</v>
      </c>
    </row>
    <row r="445" spans="1:13" x14ac:dyDescent="0.3">
      <c r="A445">
        <v>100444</v>
      </c>
      <c r="B445">
        <v>69</v>
      </c>
      <c r="C445" t="str">
        <f t="shared" si="6"/>
        <v>60+</v>
      </c>
      <c r="D445" t="s">
        <v>12</v>
      </c>
      <c r="E445" t="s">
        <v>16</v>
      </c>
      <c r="F445" t="s">
        <v>22</v>
      </c>
      <c r="G445" t="s">
        <v>25</v>
      </c>
      <c r="H445">
        <v>15</v>
      </c>
      <c r="I445">
        <v>7730</v>
      </c>
      <c r="J445" t="s">
        <v>29</v>
      </c>
      <c r="K445" t="s">
        <v>31</v>
      </c>
      <c r="L445" t="s">
        <v>34</v>
      </c>
      <c r="M445">
        <v>3</v>
      </c>
    </row>
    <row r="446" spans="1:13" x14ac:dyDescent="0.3">
      <c r="A446">
        <v>100445</v>
      </c>
      <c r="B446">
        <v>47</v>
      </c>
      <c r="C446" t="str">
        <f t="shared" si="6"/>
        <v>41-60</v>
      </c>
      <c r="D446" t="s">
        <v>13</v>
      </c>
      <c r="E446" t="s">
        <v>18</v>
      </c>
      <c r="F446" t="s">
        <v>23</v>
      </c>
      <c r="G446" t="s">
        <v>26</v>
      </c>
      <c r="H446">
        <v>3</v>
      </c>
      <c r="I446">
        <v>146993</v>
      </c>
      <c r="J446" t="s">
        <v>28</v>
      </c>
      <c r="K446" t="s">
        <v>8</v>
      </c>
      <c r="L446" t="s">
        <v>35</v>
      </c>
      <c r="M446">
        <v>1</v>
      </c>
    </row>
    <row r="447" spans="1:13" x14ac:dyDescent="0.3">
      <c r="A447">
        <v>100446</v>
      </c>
      <c r="B447">
        <v>62</v>
      </c>
      <c r="C447" t="str">
        <f t="shared" si="6"/>
        <v>60+</v>
      </c>
      <c r="D447" t="s">
        <v>12</v>
      </c>
      <c r="E447" t="s">
        <v>19</v>
      </c>
      <c r="F447" t="s">
        <v>21</v>
      </c>
      <c r="G447" t="s">
        <v>25</v>
      </c>
      <c r="H447">
        <v>12</v>
      </c>
      <c r="I447">
        <v>231502</v>
      </c>
      <c r="J447" t="s">
        <v>28</v>
      </c>
      <c r="K447" t="s">
        <v>31</v>
      </c>
      <c r="L447" t="s">
        <v>33</v>
      </c>
      <c r="M447">
        <v>5</v>
      </c>
    </row>
    <row r="448" spans="1:13" x14ac:dyDescent="0.3">
      <c r="A448">
        <v>100447</v>
      </c>
      <c r="B448">
        <v>69</v>
      </c>
      <c r="C448" t="str">
        <f t="shared" si="6"/>
        <v>60+</v>
      </c>
      <c r="D448" t="s">
        <v>13</v>
      </c>
      <c r="E448" t="s">
        <v>17</v>
      </c>
      <c r="F448" t="s">
        <v>21</v>
      </c>
      <c r="G448" t="s">
        <v>25</v>
      </c>
      <c r="H448">
        <v>9</v>
      </c>
      <c r="I448">
        <v>204210</v>
      </c>
      <c r="J448" t="s">
        <v>28</v>
      </c>
      <c r="K448" t="s">
        <v>31</v>
      </c>
      <c r="L448" t="s">
        <v>32</v>
      </c>
      <c r="M448">
        <v>1</v>
      </c>
    </row>
    <row r="449" spans="1:13" x14ac:dyDescent="0.3">
      <c r="A449">
        <v>100448</v>
      </c>
      <c r="B449">
        <v>76</v>
      </c>
      <c r="C449" t="str">
        <f t="shared" si="6"/>
        <v>60+</v>
      </c>
      <c r="D449" t="s">
        <v>13</v>
      </c>
      <c r="E449" t="s">
        <v>18</v>
      </c>
      <c r="F449" t="s">
        <v>22</v>
      </c>
      <c r="G449" t="s">
        <v>25</v>
      </c>
      <c r="H449">
        <v>12</v>
      </c>
      <c r="I449">
        <v>216183</v>
      </c>
      <c r="J449" t="s">
        <v>29</v>
      </c>
      <c r="K449" t="s">
        <v>8</v>
      </c>
      <c r="L449" t="s">
        <v>32</v>
      </c>
      <c r="M449">
        <v>2</v>
      </c>
    </row>
    <row r="450" spans="1:13" x14ac:dyDescent="0.3">
      <c r="A450">
        <v>100449</v>
      </c>
      <c r="B450">
        <v>16</v>
      </c>
      <c r="C450" t="str">
        <f t="shared" ref="C450:C513" si="7">IF(B450&lt;=18,"0-18",IF(B450&lt;=40,"19-40",IF(B450&lt;=60,"41-60","60+")))</f>
        <v>0-18</v>
      </c>
      <c r="D450" t="s">
        <v>13</v>
      </c>
      <c r="E450" t="s">
        <v>18</v>
      </c>
      <c r="F450" t="s">
        <v>24</v>
      </c>
      <c r="G450" t="s">
        <v>26</v>
      </c>
      <c r="H450">
        <v>15</v>
      </c>
      <c r="I450">
        <v>21023</v>
      </c>
      <c r="J450" t="s">
        <v>29</v>
      </c>
      <c r="K450" t="s">
        <v>30</v>
      </c>
      <c r="L450" t="s">
        <v>32</v>
      </c>
      <c r="M450">
        <v>1</v>
      </c>
    </row>
    <row r="451" spans="1:13" x14ac:dyDescent="0.3">
      <c r="A451">
        <v>100450</v>
      </c>
      <c r="B451">
        <v>48</v>
      </c>
      <c r="C451" t="str">
        <f t="shared" si="7"/>
        <v>41-60</v>
      </c>
      <c r="D451" t="s">
        <v>12</v>
      </c>
      <c r="E451" t="s">
        <v>14</v>
      </c>
      <c r="F451" t="s">
        <v>20</v>
      </c>
      <c r="G451" t="s">
        <v>27</v>
      </c>
      <c r="H451">
        <v>2</v>
      </c>
      <c r="I451">
        <v>178421</v>
      </c>
      <c r="J451" t="s">
        <v>28</v>
      </c>
      <c r="K451" t="s">
        <v>30</v>
      </c>
      <c r="L451" t="s">
        <v>32</v>
      </c>
      <c r="M451">
        <v>4</v>
      </c>
    </row>
    <row r="452" spans="1:13" x14ac:dyDescent="0.3">
      <c r="A452">
        <v>100451</v>
      </c>
      <c r="B452">
        <v>85</v>
      </c>
      <c r="C452" t="str">
        <f t="shared" si="7"/>
        <v>60+</v>
      </c>
      <c r="D452" t="s">
        <v>13</v>
      </c>
      <c r="E452" t="s">
        <v>15</v>
      </c>
      <c r="F452" t="s">
        <v>21</v>
      </c>
      <c r="G452" t="s">
        <v>25</v>
      </c>
      <c r="H452">
        <v>18</v>
      </c>
      <c r="I452">
        <v>128796</v>
      </c>
      <c r="J452" t="s">
        <v>28</v>
      </c>
      <c r="K452" t="s">
        <v>31</v>
      </c>
      <c r="L452" t="s">
        <v>32</v>
      </c>
      <c r="M452">
        <v>1</v>
      </c>
    </row>
    <row r="453" spans="1:13" x14ac:dyDescent="0.3">
      <c r="A453">
        <v>100452</v>
      </c>
      <c r="B453">
        <v>39</v>
      </c>
      <c r="C453" t="str">
        <f t="shared" si="7"/>
        <v>19-40</v>
      </c>
      <c r="D453" t="s">
        <v>12</v>
      </c>
      <c r="E453" t="s">
        <v>19</v>
      </c>
      <c r="F453" t="s">
        <v>23</v>
      </c>
      <c r="G453" t="s">
        <v>27</v>
      </c>
      <c r="H453">
        <v>12</v>
      </c>
      <c r="I453">
        <v>83533</v>
      </c>
      <c r="J453" t="s">
        <v>28</v>
      </c>
      <c r="K453" t="s">
        <v>8</v>
      </c>
      <c r="L453" t="s">
        <v>35</v>
      </c>
      <c r="M453">
        <v>3</v>
      </c>
    </row>
    <row r="454" spans="1:13" x14ac:dyDescent="0.3">
      <c r="A454">
        <v>100453</v>
      </c>
      <c r="B454">
        <v>33</v>
      </c>
      <c r="C454" t="str">
        <f t="shared" si="7"/>
        <v>19-40</v>
      </c>
      <c r="D454" t="s">
        <v>12</v>
      </c>
      <c r="E454" t="s">
        <v>18</v>
      </c>
      <c r="F454" t="s">
        <v>23</v>
      </c>
      <c r="G454" t="s">
        <v>26</v>
      </c>
      <c r="H454">
        <v>4</v>
      </c>
      <c r="I454">
        <v>85286</v>
      </c>
      <c r="J454" t="s">
        <v>28</v>
      </c>
      <c r="K454" t="s">
        <v>30</v>
      </c>
      <c r="L454" t="s">
        <v>33</v>
      </c>
      <c r="M454">
        <v>1</v>
      </c>
    </row>
    <row r="455" spans="1:13" x14ac:dyDescent="0.3">
      <c r="A455">
        <v>100454</v>
      </c>
      <c r="B455">
        <v>23</v>
      </c>
      <c r="C455" t="str">
        <f t="shared" si="7"/>
        <v>19-40</v>
      </c>
      <c r="D455" t="s">
        <v>13</v>
      </c>
      <c r="E455" t="s">
        <v>14</v>
      </c>
      <c r="F455" t="s">
        <v>24</v>
      </c>
      <c r="G455" t="s">
        <v>26</v>
      </c>
      <c r="H455">
        <v>16</v>
      </c>
      <c r="I455">
        <v>43979</v>
      </c>
      <c r="J455" t="s">
        <v>28</v>
      </c>
      <c r="K455" t="s">
        <v>8</v>
      </c>
      <c r="L455" t="s">
        <v>32</v>
      </c>
      <c r="M455">
        <v>2</v>
      </c>
    </row>
    <row r="456" spans="1:13" x14ac:dyDescent="0.3">
      <c r="A456">
        <v>100455</v>
      </c>
      <c r="B456">
        <v>10</v>
      </c>
      <c r="C456" t="str">
        <f t="shared" si="7"/>
        <v>0-18</v>
      </c>
      <c r="D456" t="s">
        <v>13</v>
      </c>
      <c r="E456" t="s">
        <v>17</v>
      </c>
      <c r="F456" t="s">
        <v>21</v>
      </c>
      <c r="G456" t="s">
        <v>26</v>
      </c>
      <c r="H456">
        <v>16</v>
      </c>
      <c r="I456">
        <v>24837</v>
      </c>
      <c r="J456" t="s">
        <v>28</v>
      </c>
      <c r="K456" t="s">
        <v>30</v>
      </c>
      <c r="L456" t="s">
        <v>33</v>
      </c>
      <c r="M456">
        <v>1</v>
      </c>
    </row>
    <row r="457" spans="1:13" x14ac:dyDescent="0.3">
      <c r="A457">
        <v>100456</v>
      </c>
      <c r="B457">
        <v>69</v>
      </c>
      <c r="C457" t="str">
        <f t="shared" si="7"/>
        <v>60+</v>
      </c>
      <c r="D457" t="s">
        <v>13</v>
      </c>
      <c r="E457" t="s">
        <v>16</v>
      </c>
      <c r="F457" t="s">
        <v>22</v>
      </c>
      <c r="G457" t="s">
        <v>26</v>
      </c>
      <c r="H457">
        <v>1</v>
      </c>
      <c r="I457">
        <v>148069</v>
      </c>
      <c r="J457" t="s">
        <v>29</v>
      </c>
      <c r="K457" t="s">
        <v>8</v>
      </c>
      <c r="L457" t="s">
        <v>34</v>
      </c>
      <c r="M457">
        <v>4</v>
      </c>
    </row>
    <row r="458" spans="1:13" x14ac:dyDescent="0.3">
      <c r="A458">
        <v>100457</v>
      </c>
      <c r="B458">
        <v>34</v>
      </c>
      <c r="C458" t="str">
        <f t="shared" si="7"/>
        <v>19-40</v>
      </c>
      <c r="D458" t="s">
        <v>12</v>
      </c>
      <c r="E458" t="s">
        <v>19</v>
      </c>
      <c r="F458" t="s">
        <v>23</v>
      </c>
      <c r="G458" t="s">
        <v>27</v>
      </c>
      <c r="H458">
        <v>2</v>
      </c>
      <c r="I458">
        <v>106975</v>
      </c>
      <c r="J458" t="s">
        <v>28</v>
      </c>
      <c r="K458" t="s">
        <v>31</v>
      </c>
      <c r="L458" t="s">
        <v>32</v>
      </c>
      <c r="M458">
        <v>5</v>
      </c>
    </row>
    <row r="459" spans="1:13" x14ac:dyDescent="0.3">
      <c r="A459">
        <v>100458</v>
      </c>
      <c r="B459">
        <v>52</v>
      </c>
      <c r="C459" t="str">
        <f t="shared" si="7"/>
        <v>41-60</v>
      </c>
      <c r="D459" t="s">
        <v>13</v>
      </c>
      <c r="E459" t="s">
        <v>18</v>
      </c>
      <c r="F459" t="s">
        <v>24</v>
      </c>
      <c r="G459" t="s">
        <v>25</v>
      </c>
      <c r="H459">
        <v>3</v>
      </c>
      <c r="I459">
        <v>221675</v>
      </c>
      <c r="J459" t="s">
        <v>28</v>
      </c>
      <c r="K459" t="s">
        <v>8</v>
      </c>
      <c r="L459" t="s">
        <v>32</v>
      </c>
      <c r="M459">
        <v>1</v>
      </c>
    </row>
    <row r="460" spans="1:13" x14ac:dyDescent="0.3">
      <c r="A460">
        <v>100459</v>
      </c>
      <c r="B460">
        <v>10</v>
      </c>
      <c r="C460" t="str">
        <f t="shared" si="7"/>
        <v>0-18</v>
      </c>
      <c r="D460" t="s">
        <v>12</v>
      </c>
      <c r="E460" t="s">
        <v>15</v>
      </c>
      <c r="F460" t="s">
        <v>21</v>
      </c>
      <c r="G460" t="s">
        <v>26</v>
      </c>
      <c r="H460">
        <v>17</v>
      </c>
      <c r="I460">
        <v>178111</v>
      </c>
      <c r="J460" t="s">
        <v>28</v>
      </c>
      <c r="K460" t="s">
        <v>30</v>
      </c>
      <c r="L460" t="s">
        <v>33</v>
      </c>
      <c r="M460">
        <v>1</v>
      </c>
    </row>
    <row r="461" spans="1:13" x14ac:dyDescent="0.3">
      <c r="A461">
        <v>100460</v>
      </c>
      <c r="B461">
        <v>19</v>
      </c>
      <c r="C461" t="str">
        <f t="shared" si="7"/>
        <v>19-40</v>
      </c>
      <c r="D461" t="s">
        <v>12</v>
      </c>
      <c r="E461" t="s">
        <v>14</v>
      </c>
      <c r="F461" t="s">
        <v>21</v>
      </c>
      <c r="G461" t="s">
        <v>26</v>
      </c>
      <c r="H461">
        <v>1</v>
      </c>
      <c r="I461">
        <v>22923</v>
      </c>
      <c r="J461" t="s">
        <v>28</v>
      </c>
      <c r="K461" t="s">
        <v>31</v>
      </c>
      <c r="L461" t="s">
        <v>32</v>
      </c>
      <c r="M461">
        <v>3</v>
      </c>
    </row>
    <row r="462" spans="1:13" x14ac:dyDescent="0.3">
      <c r="A462">
        <v>100461</v>
      </c>
      <c r="B462">
        <v>58</v>
      </c>
      <c r="C462" t="str">
        <f t="shared" si="7"/>
        <v>41-60</v>
      </c>
      <c r="D462" t="s">
        <v>13</v>
      </c>
      <c r="E462" t="s">
        <v>18</v>
      </c>
      <c r="F462" t="s">
        <v>21</v>
      </c>
      <c r="G462" t="s">
        <v>27</v>
      </c>
      <c r="H462">
        <v>6</v>
      </c>
      <c r="I462">
        <v>10876</v>
      </c>
      <c r="J462" t="s">
        <v>28</v>
      </c>
      <c r="K462" t="s">
        <v>8</v>
      </c>
      <c r="L462" t="s">
        <v>32</v>
      </c>
      <c r="M462">
        <v>4</v>
      </c>
    </row>
    <row r="463" spans="1:13" x14ac:dyDescent="0.3">
      <c r="A463">
        <v>100462</v>
      </c>
      <c r="B463">
        <v>1</v>
      </c>
      <c r="C463" t="str">
        <f t="shared" si="7"/>
        <v>0-18</v>
      </c>
      <c r="D463" t="s">
        <v>13</v>
      </c>
      <c r="E463" t="s">
        <v>15</v>
      </c>
      <c r="F463" t="s">
        <v>21</v>
      </c>
      <c r="G463" t="s">
        <v>27</v>
      </c>
      <c r="H463">
        <v>15</v>
      </c>
      <c r="I463">
        <v>62973</v>
      </c>
      <c r="J463" t="s">
        <v>28</v>
      </c>
      <c r="K463" t="s">
        <v>30</v>
      </c>
      <c r="L463" t="s">
        <v>32</v>
      </c>
      <c r="M463">
        <v>5</v>
      </c>
    </row>
    <row r="464" spans="1:13" x14ac:dyDescent="0.3">
      <c r="A464">
        <v>100463</v>
      </c>
      <c r="B464">
        <v>69</v>
      </c>
      <c r="C464" t="str">
        <f t="shared" si="7"/>
        <v>60+</v>
      </c>
      <c r="D464" t="s">
        <v>12</v>
      </c>
      <c r="E464" t="s">
        <v>18</v>
      </c>
      <c r="F464" t="s">
        <v>21</v>
      </c>
      <c r="G464" t="s">
        <v>26</v>
      </c>
      <c r="H464">
        <v>14</v>
      </c>
      <c r="I464">
        <v>135959</v>
      </c>
      <c r="J464" t="s">
        <v>29</v>
      </c>
      <c r="K464" t="s">
        <v>31</v>
      </c>
      <c r="L464" t="s">
        <v>35</v>
      </c>
      <c r="M464">
        <v>2</v>
      </c>
    </row>
    <row r="465" spans="1:13" x14ac:dyDescent="0.3">
      <c r="A465">
        <v>100464</v>
      </c>
      <c r="B465">
        <v>4</v>
      </c>
      <c r="C465" t="str">
        <f t="shared" si="7"/>
        <v>0-18</v>
      </c>
      <c r="D465" t="s">
        <v>12</v>
      </c>
      <c r="E465" t="s">
        <v>19</v>
      </c>
      <c r="F465" t="s">
        <v>23</v>
      </c>
      <c r="G465" t="s">
        <v>25</v>
      </c>
      <c r="H465">
        <v>15</v>
      </c>
      <c r="I465">
        <v>196795</v>
      </c>
      <c r="J465" t="s">
        <v>29</v>
      </c>
      <c r="K465" t="s">
        <v>8</v>
      </c>
      <c r="L465" t="s">
        <v>35</v>
      </c>
      <c r="M465">
        <v>1</v>
      </c>
    </row>
    <row r="466" spans="1:13" x14ac:dyDescent="0.3">
      <c r="A466">
        <v>100465</v>
      </c>
      <c r="B466">
        <v>16</v>
      </c>
      <c r="C466" t="str">
        <f t="shared" si="7"/>
        <v>0-18</v>
      </c>
      <c r="D466" t="s">
        <v>12</v>
      </c>
      <c r="E466" t="s">
        <v>19</v>
      </c>
      <c r="F466" t="s">
        <v>24</v>
      </c>
      <c r="G466" t="s">
        <v>25</v>
      </c>
      <c r="H466">
        <v>14</v>
      </c>
      <c r="I466">
        <v>44422</v>
      </c>
      <c r="J466" t="s">
        <v>29</v>
      </c>
      <c r="K466" t="s">
        <v>30</v>
      </c>
      <c r="L466" t="s">
        <v>32</v>
      </c>
      <c r="M466">
        <v>5</v>
      </c>
    </row>
    <row r="467" spans="1:13" x14ac:dyDescent="0.3">
      <c r="A467">
        <v>100466</v>
      </c>
      <c r="B467">
        <v>24</v>
      </c>
      <c r="C467" t="str">
        <f t="shared" si="7"/>
        <v>19-40</v>
      </c>
      <c r="D467" t="s">
        <v>13</v>
      </c>
      <c r="E467" t="s">
        <v>19</v>
      </c>
      <c r="F467" t="s">
        <v>21</v>
      </c>
      <c r="G467" t="s">
        <v>26</v>
      </c>
      <c r="H467">
        <v>5</v>
      </c>
      <c r="I467">
        <v>235462</v>
      </c>
      <c r="J467" t="s">
        <v>29</v>
      </c>
      <c r="K467" t="s">
        <v>8</v>
      </c>
      <c r="L467" t="s">
        <v>35</v>
      </c>
      <c r="M467">
        <v>2</v>
      </c>
    </row>
    <row r="468" spans="1:13" x14ac:dyDescent="0.3">
      <c r="A468">
        <v>100467</v>
      </c>
      <c r="B468">
        <v>80</v>
      </c>
      <c r="C468" t="str">
        <f t="shared" si="7"/>
        <v>60+</v>
      </c>
      <c r="D468" t="s">
        <v>12</v>
      </c>
      <c r="E468" t="s">
        <v>17</v>
      </c>
      <c r="F468" t="s">
        <v>20</v>
      </c>
      <c r="G468" t="s">
        <v>27</v>
      </c>
      <c r="H468">
        <v>6</v>
      </c>
      <c r="I468">
        <v>53413</v>
      </c>
      <c r="J468" t="s">
        <v>29</v>
      </c>
      <c r="K468" t="s">
        <v>8</v>
      </c>
      <c r="L468" t="s">
        <v>34</v>
      </c>
      <c r="M468">
        <v>4</v>
      </c>
    </row>
    <row r="469" spans="1:13" x14ac:dyDescent="0.3">
      <c r="A469">
        <v>100468</v>
      </c>
      <c r="B469">
        <v>2</v>
      </c>
      <c r="C469" t="str">
        <f t="shared" si="7"/>
        <v>0-18</v>
      </c>
      <c r="D469" t="s">
        <v>13</v>
      </c>
      <c r="E469" t="s">
        <v>17</v>
      </c>
      <c r="F469" t="s">
        <v>20</v>
      </c>
      <c r="G469" t="s">
        <v>26</v>
      </c>
      <c r="H469">
        <v>17</v>
      </c>
      <c r="I469">
        <v>104484</v>
      </c>
      <c r="J469" t="s">
        <v>29</v>
      </c>
      <c r="K469" t="s">
        <v>31</v>
      </c>
      <c r="L469" t="s">
        <v>32</v>
      </c>
      <c r="M469">
        <v>4</v>
      </c>
    </row>
    <row r="470" spans="1:13" x14ac:dyDescent="0.3">
      <c r="A470">
        <v>100469</v>
      </c>
      <c r="B470">
        <v>32</v>
      </c>
      <c r="C470" t="str">
        <f t="shared" si="7"/>
        <v>19-40</v>
      </c>
      <c r="D470" t="s">
        <v>12</v>
      </c>
      <c r="E470" t="s">
        <v>14</v>
      </c>
      <c r="F470" t="s">
        <v>24</v>
      </c>
      <c r="G470" t="s">
        <v>26</v>
      </c>
      <c r="H470">
        <v>11</v>
      </c>
      <c r="I470">
        <v>135913</v>
      </c>
      <c r="J470" t="s">
        <v>28</v>
      </c>
      <c r="K470" t="s">
        <v>31</v>
      </c>
      <c r="L470" t="s">
        <v>34</v>
      </c>
      <c r="M470">
        <v>5</v>
      </c>
    </row>
    <row r="471" spans="1:13" x14ac:dyDescent="0.3">
      <c r="A471">
        <v>100470</v>
      </c>
      <c r="B471">
        <v>84</v>
      </c>
      <c r="C471" t="str">
        <f t="shared" si="7"/>
        <v>60+</v>
      </c>
      <c r="D471" t="s">
        <v>12</v>
      </c>
      <c r="E471" t="s">
        <v>19</v>
      </c>
      <c r="F471" t="s">
        <v>22</v>
      </c>
      <c r="G471" t="s">
        <v>27</v>
      </c>
      <c r="H471">
        <v>16</v>
      </c>
      <c r="I471">
        <v>30756</v>
      </c>
      <c r="J471" t="s">
        <v>28</v>
      </c>
      <c r="K471" t="s">
        <v>30</v>
      </c>
      <c r="L471" t="s">
        <v>33</v>
      </c>
      <c r="M471">
        <v>2</v>
      </c>
    </row>
    <row r="472" spans="1:13" x14ac:dyDescent="0.3">
      <c r="A472">
        <v>100471</v>
      </c>
      <c r="B472">
        <v>24</v>
      </c>
      <c r="C472" t="str">
        <f t="shared" si="7"/>
        <v>19-40</v>
      </c>
      <c r="D472" t="s">
        <v>13</v>
      </c>
      <c r="E472" t="s">
        <v>15</v>
      </c>
      <c r="F472" t="s">
        <v>22</v>
      </c>
      <c r="G472" t="s">
        <v>26</v>
      </c>
      <c r="H472">
        <v>12</v>
      </c>
      <c r="I472">
        <v>73576</v>
      </c>
      <c r="J472" t="s">
        <v>28</v>
      </c>
      <c r="K472" t="s">
        <v>31</v>
      </c>
      <c r="L472" t="s">
        <v>34</v>
      </c>
      <c r="M472">
        <v>4</v>
      </c>
    </row>
    <row r="473" spans="1:13" x14ac:dyDescent="0.3">
      <c r="A473">
        <v>100472</v>
      </c>
      <c r="B473">
        <v>12</v>
      </c>
      <c r="C473" t="str">
        <f t="shared" si="7"/>
        <v>0-18</v>
      </c>
      <c r="D473" t="s">
        <v>12</v>
      </c>
      <c r="E473" t="s">
        <v>18</v>
      </c>
      <c r="F473" t="s">
        <v>22</v>
      </c>
      <c r="G473" t="s">
        <v>26</v>
      </c>
      <c r="H473">
        <v>15</v>
      </c>
      <c r="I473">
        <v>120248</v>
      </c>
      <c r="J473" t="s">
        <v>28</v>
      </c>
      <c r="K473" t="s">
        <v>30</v>
      </c>
      <c r="L473" t="s">
        <v>33</v>
      </c>
      <c r="M473">
        <v>5</v>
      </c>
    </row>
    <row r="474" spans="1:13" x14ac:dyDescent="0.3">
      <c r="A474">
        <v>100473</v>
      </c>
      <c r="B474">
        <v>50</v>
      </c>
      <c r="C474" t="str">
        <f t="shared" si="7"/>
        <v>41-60</v>
      </c>
      <c r="D474" t="s">
        <v>13</v>
      </c>
      <c r="E474" t="s">
        <v>16</v>
      </c>
      <c r="F474" t="s">
        <v>20</v>
      </c>
      <c r="G474" t="s">
        <v>26</v>
      </c>
      <c r="H474">
        <v>4</v>
      </c>
      <c r="I474">
        <v>12304</v>
      </c>
      <c r="J474" t="s">
        <v>28</v>
      </c>
      <c r="K474" t="s">
        <v>8</v>
      </c>
      <c r="L474" t="s">
        <v>32</v>
      </c>
      <c r="M474">
        <v>4</v>
      </c>
    </row>
    <row r="475" spans="1:13" x14ac:dyDescent="0.3">
      <c r="A475">
        <v>100474</v>
      </c>
      <c r="B475">
        <v>35</v>
      </c>
      <c r="C475" t="str">
        <f t="shared" si="7"/>
        <v>19-40</v>
      </c>
      <c r="D475" t="s">
        <v>13</v>
      </c>
      <c r="E475" t="s">
        <v>15</v>
      </c>
      <c r="F475" t="s">
        <v>22</v>
      </c>
      <c r="G475" t="s">
        <v>27</v>
      </c>
      <c r="H475">
        <v>18</v>
      </c>
      <c r="I475">
        <v>32341</v>
      </c>
      <c r="J475" t="s">
        <v>28</v>
      </c>
      <c r="K475" t="s">
        <v>8</v>
      </c>
      <c r="L475" t="s">
        <v>33</v>
      </c>
      <c r="M475">
        <v>4</v>
      </c>
    </row>
    <row r="476" spans="1:13" x14ac:dyDescent="0.3">
      <c r="A476">
        <v>100475</v>
      </c>
      <c r="B476">
        <v>33</v>
      </c>
      <c r="C476" t="str">
        <f t="shared" si="7"/>
        <v>19-40</v>
      </c>
      <c r="D476" t="s">
        <v>12</v>
      </c>
      <c r="E476" t="s">
        <v>17</v>
      </c>
      <c r="F476" t="s">
        <v>23</v>
      </c>
      <c r="G476" t="s">
        <v>25</v>
      </c>
      <c r="H476">
        <v>3</v>
      </c>
      <c r="I476">
        <v>137830</v>
      </c>
      <c r="J476" t="s">
        <v>29</v>
      </c>
      <c r="K476" t="s">
        <v>30</v>
      </c>
      <c r="L476" t="s">
        <v>33</v>
      </c>
      <c r="M476">
        <v>4</v>
      </c>
    </row>
    <row r="477" spans="1:13" x14ac:dyDescent="0.3">
      <c r="A477">
        <v>100476</v>
      </c>
      <c r="B477">
        <v>33</v>
      </c>
      <c r="C477" t="str">
        <f t="shared" si="7"/>
        <v>19-40</v>
      </c>
      <c r="D477" t="s">
        <v>13</v>
      </c>
      <c r="E477" t="s">
        <v>17</v>
      </c>
      <c r="F477" t="s">
        <v>21</v>
      </c>
      <c r="G477" t="s">
        <v>25</v>
      </c>
      <c r="H477">
        <v>8</v>
      </c>
      <c r="I477">
        <v>150082</v>
      </c>
      <c r="J477" t="s">
        <v>28</v>
      </c>
      <c r="K477" t="s">
        <v>8</v>
      </c>
      <c r="L477" t="s">
        <v>34</v>
      </c>
      <c r="M477">
        <v>3</v>
      </c>
    </row>
    <row r="478" spans="1:13" x14ac:dyDescent="0.3">
      <c r="A478">
        <v>100477</v>
      </c>
      <c r="B478">
        <v>61</v>
      </c>
      <c r="C478" t="str">
        <f t="shared" si="7"/>
        <v>60+</v>
      </c>
      <c r="D478" t="s">
        <v>13</v>
      </c>
      <c r="E478" t="s">
        <v>15</v>
      </c>
      <c r="F478" t="s">
        <v>20</v>
      </c>
      <c r="G478" t="s">
        <v>27</v>
      </c>
      <c r="H478">
        <v>3</v>
      </c>
      <c r="I478">
        <v>129039</v>
      </c>
      <c r="J478" t="s">
        <v>29</v>
      </c>
      <c r="K478" t="s">
        <v>31</v>
      </c>
      <c r="L478" t="s">
        <v>34</v>
      </c>
      <c r="M478">
        <v>2</v>
      </c>
    </row>
    <row r="479" spans="1:13" x14ac:dyDescent="0.3">
      <c r="A479">
        <v>100478</v>
      </c>
      <c r="B479">
        <v>51</v>
      </c>
      <c r="C479" t="str">
        <f t="shared" si="7"/>
        <v>41-60</v>
      </c>
      <c r="D479" t="s">
        <v>12</v>
      </c>
      <c r="E479" t="s">
        <v>17</v>
      </c>
      <c r="F479" t="s">
        <v>24</v>
      </c>
      <c r="G479" t="s">
        <v>25</v>
      </c>
      <c r="H479">
        <v>8</v>
      </c>
      <c r="I479">
        <v>193830</v>
      </c>
      <c r="J479" t="s">
        <v>29</v>
      </c>
      <c r="K479" t="s">
        <v>8</v>
      </c>
      <c r="L479" t="s">
        <v>34</v>
      </c>
      <c r="M479">
        <v>5</v>
      </c>
    </row>
    <row r="480" spans="1:13" x14ac:dyDescent="0.3">
      <c r="A480">
        <v>100479</v>
      </c>
      <c r="B480">
        <v>43</v>
      </c>
      <c r="C480" t="str">
        <f t="shared" si="7"/>
        <v>41-60</v>
      </c>
      <c r="D480" t="s">
        <v>13</v>
      </c>
      <c r="E480" t="s">
        <v>19</v>
      </c>
      <c r="F480" t="s">
        <v>24</v>
      </c>
      <c r="G480" t="s">
        <v>26</v>
      </c>
      <c r="H480">
        <v>18</v>
      </c>
      <c r="I480">
        <v>164730</v>
      </c>
      <c r="J480" t="s">
        <v>28</v>
      </c>
      <c r="K480" t="s">
        <v>31</v>
      </c>
      <c r="L480" t="s">
        <v>32</v>
      </c>
      <c r="M480">
        <v>5</v>
      </c>
    </row>
    <row r="481" spans="1:13" x14ac:dyDescent="0.3">
      <c r="A481">
        <v>100480</v>
      </c>
      <c r="B481">
        <v>12</v>
      </c>
      <c r="C481" t="str">
        <f t="shared" si="7"/>
        <v>0-18</v>
      </c>
      <c r="D481" t="s">
        <v>13</v>
      </c>
      <c r="E481" t="s">
        <v>14</v>
      </c>
      <c r="F481" t="s">
        <v>21</v>
      </c>
      <c r="G481" t="s">
        <v>25</v>
      </c>
      <c r="H481">
        <v>10</v>
      </c>
      <c r="I481">
        <v>182074</v>
      </c>
      <c r="J481" t="s">
        <v>28</v>
      </c>
      <c r="K481" t="s">
        <v>30</v>
      </c>
      <c r="L481" t="s">
        <v>32</v>
      </c>
      <c r="M481">
        <v>2</v>
      </c>
    </row>
    <row r="482" spans="1:13" x14ac:dyDescent="0.3">
      <c r="A482">
        <v>100481</v>
      </c>
      <c r="B482">
        <v>67</v>
      </c>
      <c r="C482" t="str">
        <f t="shared" si="7"/>
        <v>60+</v>
      </c>
      <c r="D482" t="s">
        <v>13</v>
      </c>
      <c r="E482" t="s">
        <v>18</v>
      </c>
      <c r="F482" t="s">
        <v>20</v>
      </c>
      <c r="G482" t="s">
        <v>26</v>
      </c>
      <c r="H482">
        <v>17</v>
      </c>
      <c r="I482">
        <v>236390</v>
      </c>
      <c r="J482" t="s">
        <v>28</v>
      </c>
      <c r="K482" t="s">
        <v>30</v>
      </c>
      <c r="L482" t="s">
        <v>34</v>
      </c>
      <c r="M482">
        <v>2</v>
      </c>
    </row>
    <row r="483" spans="1:13" x14ac:dyDescent="0.3">
      <c r="A483">
        <v>100482</v>
      </c>
      <c r="B483">
        <v>65</v>
      </c>
      <c r="C483" t="str">
        <f t="shared" si="7"/>
        <v>60+</v>
      </c>
      <c r="D483" t="s">
        <v>12</v>
      </c>
      <c r="E483" t="s">
        <v>14</v>
      </c>
      <c r="F483" t="s">
        <v>22</v>
      </c>
      <c r="G483" t="s">
        <v>25</v>
      </c>
      <c r="H483">
        <v>8</v>
      </c>
      <c r="I483">
        <v>134447</v>
      </c>
      <c r="J483" t="s">
        <v>28</v>
      </c>
      <c r="K483" t="s">
        <v>8</v>
      </c>
      <c r="L483" t="s">
        <v>32</v>
      </c>
      <c r="M483">
        <v>2</v>
      </c>
    </row>
    <row r="484" spans="1:13" x14ac:dyDescent="0.3">
      <c r="A484">
        <v>100483</v>
      </c>
      <c r="B484">
        <v>33</v>
      </c>
      <c r="C484" t="str">
        <f t="shared" si="7"/>
        <v>19-40</v>
      </c>
      <c r="D484" t="s">
        <v>13</v>
      </c>
      <c r="E484" t="s">
        <v>18</v>
      </c>
      <c r="F484" t="s">
        <v>22</v>
      </c>
      <c r="G484" t="s">
        <v>27</v>
      </c>
      <c r="H484">
        <v>11</v>
      </c>
      <c r="I484">
        <v>101485</v>
      </c>
      <c r="J484" t="s">
        <v>28</v>
      </c>
      <c r="K484" t="s">
        <v>8</v>
      </c>
      <c r="L484" t="s">
        <v>32</v>
      </c>
      <c r="M484">
        <v>2</v>
      </c>
    </row>
    <row r="485" spans="1:13" x14ac:dyDescent="0.3">
      <c r="A485">
        <v>100484</v>
      </c>
      <c r="B485">
        <v>40</v>
      </c>
      <c r="C485" t="str">
        <f t="shared" si="7"/>
        <v>19-40</v>
      </c>
      <c r="D485" t="s">
        <v>12</v>
      </c>
      <c r="E485" t="s">
        <v>18</v>
      </c>
      <c r="F485" t="s">
        <v>23</v>
      </c>
      <c r="G485" t="s">
        <v>25</v>
      </c>
      <c r="H485">
        <v>5</v>
      </c>
      <c r="I485">
        <v>24092</v>
      </c>
      <c r="J485" t="s">
        <v>28</v>
      </c>
      <c r="K485" t="s">
        <v>31</v>
      </c>
      <c r="L485" t="s">
        <v>33</v>
      </c>
      <c r="M485">
        <v>1</v>
      </c>
    </row>
    <row r="486" spans="1:13" x14ac:dyDescent="0.3">
      <c r="A486">
        <v>100485</v>
      </c>
      <c r="B486">
        <v>74</v>
      </c>
      <c r="C486" t="str">
        <f t="shared" si="7"/>
        <v>60+</v>
      </c>
      <c r="D486" t="s">
        <v>12</v>
      </c>
      <c r="E486" t="s">
        <v>14</v>
      </c>
      <c r="F486" t="s">
        <v>23</v>
      </c>
      <c r="G486" t="s">
        <v>25</v>
      </c>
      <c r="H486">
        <v>13</v>
      </c>
      <c r="I486">
        <v>133562</v>
      </c>
      <c r="J486" t="s">
        <v>28</v>
      </c>
      <c r="K486" t="s">
        <v>31</v>
      </c>
      <c r="L486" t="s">
        <v>33</v>
      </c>
      <c r="M486">
        <v>5</v>
      </c>
    </row>
    <row r="487" spans="1:13" x14ac:dyDescent="0.3">
      <c r="A487">
        <v>100486</v>
      </c>
      <c r="B487">
        <v>43</v>
      </c>
      <c r="C487" t="str">
        <f t="shared" si="7"/>
        <v>41-60</v>
      </c>
      <c r="D487" t="s">
        <v>13</v>
      </c>
      <c r="E487" t="s">
        <v>15</v>
      </c>
      <c r="F487" t="s">
        <v>22</v>
      </c>
      <c r="G487" t="s">
        <v>25</v>
      </c>
      <c r="H487">
        <v>5</v>
      </c>
      <c r="I487">
        <v>5729</v>
      </c>
      <c r="J487" t="s">
        <v>29</v>
      </c>
      <c r="K487" t="s">
        <v>8</v>
      </c>
      <c r="L487" t="s">
        <v>34</v>
      </c>
      <c r="M487">
        <v>1</v>
      </c>
    </row>
    <row r="488" spans="1:13" x14ac:dyDescent="0.3">
      <c r="A488">
        <v>100487</v>
      </c>
      <c r="B488">
        <v>44</v>
      </c>
      <c r="C488" t="str">
        <f t="shared" si="7"/>
        <v>41-60</v>
      </c>
      <c r="D488" t="s">
        <v>13</v>
      </c>
      <c r="E488" t="s">
        <v>18</v>
      </c>
      <c r="F488" t="s">
        <v>24</v>
      </c>
      <c r="G488" t="s">
        <v>27</v>
      </c>
      <c r="H488">
        <v>13</v>
      </c>
      <c r="I488">
        <v>139046</v>
      </c>
      <c r="J488" t="s">
        <v>28</v>
      </c>
      <c r="K488" t="s">
        <v>8</v>
      </c>
      <c r="L488" t="s">
        <v>32</v>
      </c>
      <c r="M488">
        <v>4</v>
      </c>
    </row>
    <row r="489" spans="1:13" x14ac:dyDescent="0.3">
      <c r="A489">
        <v>100488</v>
      </c>
      <c r="B489">
        <v>29</v>
      </c>
      <c r="C489" t="str">
        <f t="shared" si="7"/>
        <v>19-40</v>
      </c>
      <c r="D489" t="s">
        <v>13</v>
      </c>
      <c r="E489" t="s">
        <v>14</v>
      </c>
      <c r="F489" t="s">
        <v>24</v>
      </c>
      <c r="G489" t="s">
        <v>25</v>
      </c>
      <c r="H489">
        <v>6</v>
      </c>
      <c r="I489">
        <v>120222</v>
      </c>
      <c r="J489" t="s">
        <v>28</v>
      </c>
      <c r="K489" t="s">
        <v>30</v>
      </c>
      <c r="L489" t="s">
        <v>33</v>
      </c>
      <c r="M489">
        <v>4</v>
      </c>
    </row>
    <row r="490" spans="1:13" x14ac:dyDescent="0.3">
      <c r="A490">
        <v>100489</v>
      </c>
      <c r="B490">
        <v>13</v>
      </c>
      <c r="C490" t="str">
        <f t="shared" si="7"/>
        <v>0-18</v>
      </c>
      <c r="D490" t="s">
        <v>12</v>
      </c>
      <c r="E490" t="s">
        <v>18</v>
      </c>
      <c r="F490" t="s">
        <v>23</v>
      </c>
      <c r="G490" t="s">
        <v>27</v>
      </c>
      <c r="H490">
        <v>5</v>
      </c>
      <c r="I490">
        <v>87216</v>
      </c>
      <c r="J490" t="s">
        <v>29</v>
      </c>
      <c r="K490" t="s">
        <v>30</v>
      </c>
      <c r="L490" t="s">
        <v>35</v>
      </c>
      <c r="M490">
        <v>5</v>
      </c>
    </row>
    <row r="491" spans="1:13" x14ac:dyDescent="0.3">
      <c r="A491">
        <v>100490</v>
      </c>
      <c r="B491">
        <v>12</v>
      </c>
      <c r="C491" t="str">
        <f t="shared" si="7"/>
        <v>0-18</v>
      </c>
      <c r="D491" t="s">
        <v>13</v>
      </c>
      <c r="E491" t="s">
        <v>16</v>
      </c>
      <c r="F491" t="s">
        <v>21</v>
      </c>
      <c r="G491" t="s">
        <v>26</v>
      </c>
      <c r="H491">
        <v>9</v>
      </c>
      <c r="I491">
        <v>85860</v>
      </c>
      <c r="J491" t="s">
        <v>28</v>
      </c>
      <c r="K491" t="s">
        <v>30</v>
      </c>
      <c r="L491" t="s">
        <v>32</v>
      </c>
      <c r="M491">
        <v>4</v>
      </c>
    </row>
    <row r="492" spans="1:13" x14ac:dyDescent="0.3">
      <c r="A492">
        <v>100491</v>
      </c>
      <c r="B492">
        <v>46</v>
      </c>
      <c r="C492" t="str">
        <f t="shared" si="7"/>
        <v>41-60</v>
      </c>
      <c r="D492" t="s">
        <v>13</v>
      </c>
      <c r="E492" t="s">
        <v>15</v>
      </c>
      <c r="F492" t="s">
        <v>22</v>
      </c>
      <c r="G492" t="s">
        <v>25</v>
      </c>
      <c r="H492">
        <v>16</v>
      </c>
      <c r="I492">
        <v>98870</v>
      </c>
      <c r="J492" t="s">
        <v>28</v>
      </c>
      <c r="K492" t="s">
        <v>8</v>
      </c>
      <c r="L492" t="s">
        <v>35</v>
      </c>
      <c r="M492">
        <v>2</v>
      </c>
    </row>
    <row r="493" spans="1:13" x14ac:dyDescent="0.3">
      <c r="A493">
        <v>100492</v>
      </c>
      <c r="B493">
        <v>2</v>
      </c>
      <c r="C493" t="str">
        <f t="shared" si="7"/>
        <v>0-18</v>
      </c>
      <c r="D493" t="s">
        <v>13</v>
      </c>
      <c r="E493" t="s">
        <v>19</v>
      </c>
      <c r="F493" t="s">
        <v>23</v>
      </c>
      <c r="G493" t="s">
        <v>27</v>
      </c>
      <c r="H493">
        <v>2</v>
      </c>
      <c r="I493">
        <v>23398</v>
      </c>
      <c r="J493" t="s">
        <v>29</v>
      </c>
      <c r="K493" t="s">
        <v>8</v>
      </c>
      <c r="L493" t="s">
        <v>34</v>
      </c>
      <c r="M493">
        <v>1</v>
      </c>
    </row>
    <row r="494" spans="1:13" x14ac:dyDescent="0.3">
      <c r="A494">
        <v>100493</v>
      </c>
      <c r="B494">
        <v>35</v>
      </c>
      <c r="C494" t="str">
        <f t="shared" si="7"/>
        <v>19-40</v>
      </c>
      <c r="D494" t="s">
        <v>13</v>
      </c>
      <c r="E494" t="s">
        <v>18</v>
      </c>
      <c r="F494" t="s">
        <v>23</v>
      </c>
      <c r="G494" t="s">
        <v>27</v>
      </c>
      <c r="H494">
        <v>1</v>
      </c>
      <c r="I494">
        <v>36650</v>
      </c>
      <c r="J494" t="s">
        <v>28</v>
      </c>
      <c r="K494" t="s">
        <v>8</v>
      </c>
      <c r="L494" t="s">
        <v>32</v>
      </c>
      <c r="M494">
        <v>2</v>
      </c>
    </row>
    <row r="495" spans="1:13" x14ac:dyDescent="0.3">
      <c r="A495">
        <v>100494</v>
      </c>
      <c r="B495">
        <v>87</v>
      </c>
      <c r="C495" t="str">
        <f t="shared" si="7"/>
        <v>60+</v>
      </c>
      <c r="D495" t="s">
        <v>13</v>
      </c>
      <c r="E495" t="s">
        <v>16</v>
      </c>
      <c r="F495" t="s">
        <v>22</v>
      </c>
      <c r="G495" t="s">
        <v>25</v>
      </c>
      <c r="H495">
        <v>8</v>
      </c>
      <c r="I495">
        <v>154364</v>
      </c>
      <c r="J495" t="s">
        <v>28</v>
      </c>
      <c r="K495" t="s">
        <v>30</v>
      </c>
      <c r="L495" t="s">
        <v>34</v>
      </c>
      <c r="M495">
        <v>4</v>
      </c>
    </row>
    <row r="496" spans="1:13" x14ac:dyDescent="0.3">
      <c r="A496">
        <v>100495</v>
      </c>
      <c r="B496">
        <v>81</v>
      </c>
      <c r="C496" t="str">
        <f t="shared" si="7"/>
        <v>60+</v>
      </c>
      <c r="D496" t="s">
        <v>12</v>
      </c>
      <c r="E496" t="s">
        <v>19</v>
      </c>
      <c r="F496" t="s">
        <v>22</v>
      </c>
      <c r="G496" t="s">
        <v>26</v>
      </c>
      <c r="H496">
        <v>19</v>
      </c>
      <c r="I496">
        <v>234363</v>
      </c>
      <c r="J496" t="s">
        <v>28</v>
      </c>
      <c r="K496" t="s">
        <v>8</v>
      </c>
      <c r="L496" t="s">
        <v>34</v>
      </c>
      <c r="M496">
        <v>1</v>
      </c>
    </row>
    <row r="497" spans="1:13" x14ac:dyDescent="0.3">
      <c r="A497">
        <v>100496</v>
      </c>
      <c r="B497">
        <v>8</v>
      </c>
      <c r="C497" t="str">
        <f t="shared" si="7"/>
        <v>0-18</v>
      </c>
      <c r="D497" t="s">
        <v>12</v>
      </c>
      <c r="E497" t="s">
        <v>19</v>
      </c>
      <c r="F497" t="s">
        <v>24</v>
      </c>
      <c r="G497" t="s">
        <v>27</v>
      </c>
      <c r="H497">
        <v>11</v>
      </c>
      <c r="I497">
        <v>105889</v>
      </c>
      <c r="J497" t="s">
        <v>28</v>
      </c>
      <c r="K497" t="s">
        <v>31</v>
      </c>
      <c r="L497" t="s">
        <v>34</v>
      </c>
      <c r="M497">
        <v>2</v>
      </c>
    </row>
    <row r="498" spans="1:13" x14ac:dyDescent="0.3">
      <c r="A498">
        <v>100497</v>
      </c>
      <c r="B498">
        <v>26</v>
      </c>
      <c r="C498" t="str">
        <f t="shared" si="7"/>
        <v>19-40</v>
      </c>
      <c r="D498" t="s">
        <v>13</v>
      </c>
      <c r="E498" t="s">
        <v>18</v>
      </c>
      <c r="F498" t="s">
        <v>21</v>
      </c>
      <c r="G498" t="s">
        <v>25</v>
      </c>
      <c r="H498">
        <v>12</v>
      </c>
      <c r="I498">
        <v>5159</v>
      </c>
      <c r="J498" t="s">
        <v>28</v>
      </c>
      <c r="K498" t="s">
        <v>8</v>
      </c>
      <c r="L498" t="s">
        <v>34</v>
      </c>
      <c r="M498">
        <v>5</v>
      </c>
    </row>
    <row r="499" spans="1:13" x14ac:dyDescent="0.3">
      <c r="A499">
        <v>100498</v>
      </c>
      <c r="B499">
        <v>74</v>
      </c>
      <c r="C499" t="str">
        <f t="shared" si="7"/>
        <v>60+</v>
      </c>
      <c r="D499" t="s">
        <v>13</v>
      </c>
      <c r="E499" t="s">
        <v>14</v>
      </c>
      <c r="F499" t="s">
        <v>21</v>
      </c>
      <c r="G499" t="s">
        <v>26</v>
      </c>
      <c r="H499">
        <v>12</v>
      </c>
      <c r="I499">
        <v>100162</v>
      </c>
      <c r="J499" t="s">
        <v>28</v>
      </c>
      <c r="K499" t="s">
        <v>8</v>
      </c>
      <c r="L499" t="s">
        <v>34</v>
      </c>
      <c r="M499">
        <v>2</v>
      </c>
    </row>
    <row r="500" spans="1:13" x14ac:dyDescent="0.3">
      <c r="A500">
        <v>100499</v>
      </c>
      <c r="B500">
        <v>34</v>
      </c>
      <c r="C500" t="str">
        <f t="shared" si="7"/>
        <v>19-40</v>
      </c>
      <c r="D500" t="s">
        <v>13</v>
      </c>
      <c r="E500" t="s">
        <v>18</v>
      </c>
      <c r="F500" t="s">
        <v>22</v>
      </c>
      <c r="G500" t="s">
        <v>27</v>
      </c>
      <c r="H500">
        <v>7</v>
      </c>
      <c r="I500">
        <v>195838</v>
      </c>
      <c r="J500" t="s">
        <v>29</v>
      </c>
      <c r="K500" t="s">
        <v>8</v>
      </c>
      <c r="L500" t="s">
        <v>32</v>
      </c>
      <c r="M500">
        <v>4</v>
      </c>
    </row>
    <row r="501" spans="1:13" x14ac:dyDescent="0.3">
      <c r="A501">
        <v>100500</v>
      </c>
      <c r="B501">
        <v>7</v>
      </c>
      <c r="C501" t="str">
        <f t="shared" si="7"/>
        <v>0-18</v>
      </c>
      <c r="D501" t="s">
        <v>13</v>
      </c>
      <c r="E501" t="s">
        <v>16</v>
      </c>
      <c r="F501" t="s">
        <v>20</v>
      </c>
      <c r="G501" t="s">
        <v>27</v>
      </c>
      <c r="H501">
        <v>13</v>
      </c>
      <c r="I501">
        <v>227959</v>
      </c>
      <c r="J501" t="s">
        <v>28</v>
      </c>
      <c r="K501" t="s">
        <v>8</v>
      </c>
      <c r="L501" t="s">
        <v>35</v>
      </c>
      <c r="M501">
        <v>1</v>
      </c>
    </row>
    <row r="502" spans="1:13" x14ac:dyDescent="0.3">
      <c r="A502">
        <v>100501</v>
      </c>
      <c r="B502">
        <v>68</v>
      </c>
      <c r="C502" t="str">
        <f t="shared" si="7"/>
        <v>60+</v>
      </c>
      <c r="D502" t="s">
        <v>12</v>
      </c>
      <c r="E502" t="s">
        <v>19</v>
      </c>
      <c r="F502" t="s">
        <v>23</v>
      </c>
      <c r="G502" t="s">
        <v>26</v>
      </c>
      <c r="H502">
        <v>8</v>
      </c>
      <c r="I502">
        <v>104834</v>
      </c>
      <c r="J502" t="s">
        <v>28</v>
      </c>
      <c r="K502" t="s">
        <v>8</v>
      </c>
      <c r="L502" t="s">
        <v>32</v>
      </c>
      <c r="M502">
        <v>5</v>
      </c>
    </row>
    <row r="503" spans="1:13" x14ac:dyDescent="0.3">
      <c r="A503">
        <v>100502</v>
      </c>
      <c r="B503">
        <v>58</v>
      </c>
      <c r="C503" t="str">
        <f t="shared" si="7"/>
        <v>41-60</v>
      </c>
      <c r="D503" t="s">
        <v>13</v>
      </c>
      <c r="E503" t="s">
        <v>18</v>
      </c>
      <c r="F503" t="s">
        <v>23</v>
      </c>
      <c r="G503" t="s">
        <v>26</v>
      </c>
      <c r="H503">
        <v>9</v>
      </c>
      <c r="I503">
        <v>150137</v>
      </c>
      <c r="J503" t="s">
        <v>29</v>
      </c>
      <c r="K503" t="s">
        <v>31</v>
      </c>
      <c r="L503" t="s">
        <v>32</v>
      </c>
      <c r="M503">
        <v>1</v>
      </c>
    </row>
    <row r="504" spans="1:13" x14ac:dyDescent="0.3">
      <c r="A504">
        <v>100503</v>
      </c>
      <c r="B504">
        <v>75</v>
      </c>
      <c r="C504" t="str">
        <f t="shared" si="7"/>
        <v>60+</v>
      </c>
      <c r="D504" t="s">
        <v>12</v>
      </c>
      <c r="E504" t="s">
        <v>14</v>
      </c>
      <c r="F504" t="s">
        <v>22</v>
      </c>
      <c r="G504" t="s">
        <v>25</v>
      </c>
      <c r="H504">
        <v>7</v>
      </c>
      <c r="I504">
        <v>23638</v>
      </c>
      <c r="J504" t="s">
        <v>29</v>
      </c>
      <c r="K504" t="s">
        <v>31</v>
      </c>
      <c r="L504" t="s">
        <v>32</v>
      </c>
      <c r="M504">
        <v>5</v>
      </c>
    </row>
    <row r="505" spans="1:13" x14ac:dyDescent="0.3">
      <c r="A505">
        <v>100504</v>
      </c>
      <c r="B505">
        <v>29</v>
      </c>
      <c r="C505" t="str">
        <f t="shared" si="7"/>
        <v>19-40</v>
      </c>
      <c r="D505" t="s">
        <v>12</v>
      </c>
      <c r="E505" t="s">
        <v>18</v>
      </c>
      <c r="F505" t="s">
        <v>20</v>
      </c>
      <c r="G505" t="s">
        <v>25</v>
      </c>
      <c r="H505">
        <v>15</v>
      </c>
      <c r="I505">
        <v>3073</v>
      </c>
      <c r="J505" t="s">
        <v>28</v>
      </c>
      <c r="K505" t="s">
        <v>8</v>
      </c>
      <c r="L505" t="s">
        <v>33</v>
      </c>
      <c r="M505">
        <v>1</v>
      </c>
    </row>
    <row r="506" spans="1:13" x14ac:dyDescent="0.3">
      <c r="A506">
        <v>100505</v>
      </c>
      <c r="B506">
        <v>36</v>
      </c>
      <c r="C506" t="str">
        <f t="shared" si="7"/>
        <v>19-40</v>
      </c>
      <c r="D506" t="s">
        <v>13</v>
      </c>
      <c r="E506" t="s">
        <v>15</v>
      </c>
      <c r="F506" t="s">
        <v>24</v>
      </c>
      <c r="G506" t="s">
        <v>27</v>
      </c>
      <c r="H506">
        <v>2</v>
      </c>
      <c r="I506">
        <v>179583</v>
      </c>
      <c r="J506" t="s">
        <v>29</v>
      </c>
      <c r="K506" t="s">
        <v>30</v>
      </c>
      <c r="L506" t="s">
        <v>33</v>
      </c>
      <c r="M506">
        <v>4</v>
      </c>
    </row>
    <row r="507" spans="1:13" x14ac:dyDescent="0.3">
      <c r="A507">
        <v>100506</v>
      </c>
      <c r="B507">
        <v>89</v>
      </c>
      <c r="C507" t="str">
        <f t="shared" si="7"/>
        <v>60+</v>
      </c>
      <c r="D507" t="s">
        <v>12</v>
      </c>
      <c r="E507" t="s">
        <v>14</v>
      </c>
      <c r="F507" t="s">
        <v>22</v>
      </c>
      <c r="G507" t="s">
        <v>26</v>
      </c>
      <c r="H507">
        <v>12</v>
      </c>
      <c r="I507">
        <v>217379</v>
      </c>
      <c r="J507" t="s">
        <v>28</v>
      </c>
      <c r="K507" t="s">
        <v>8</v>
      </c>
      <c r="L507" t="s">
        <v>32</v>
      </c>
      <c r="M507">
        <v>5</v>
      </c>
    </row>
    <row r="508" spans="1:13" x14ac:dyDescent="0.3">
      <c r="A508">
        <v>100507</v>
      </c>
      <c r="B508">
        <v>21</v>
      </c>
      <c r="C508" t="str">
        <f t="shared" si="7"/>
        <v>19-40</v>
      </c>
      <c r="D508" t="s">
        <v>12</v>
      </c>
      <c r="E508" t="s">
        <v>16</v>
      </c>
      <c r="F508" t="s">
        <v>22</v>
      </c>
      <c r="G508" t="s">
        <v>26</v>
      </c>
      <c r="H508">
        <v>1</v>
      </c>
      <c r="I508">
        <v>234069</v>
      </c>
      <c r="J508" t="s">
        <v>28</v>
      </c>
      <c r="K508" t="s">
        <v>8</v>
      </c>
      <c r="L508" t="s">
        <v>35</v>
      </c>
      <c r="M508">
        <v>3</v>
      </c>
    </row>
    <row r="509" spans="1:13" x14ac:dyDescent="0.3">
      <c r="A509">
        <v>100508</v>
      </c>
      <c r="B509">
        <v>36</v>
      </c>
      <c r="C509" t="str">
        <f t="shared" si="7"/>
        <v>19-40</v>
      </c>
      <c r="D509" t="s">
        <v>12</v>
      </c>
      <c r="E509" t="s">
        <v>19</v>
      </c>
      <c r="F509" t="s">
        <v>23</v>
      </c>
      <c r="G509" t="s">
        <v>26</v>
      </c>
      <c r="H509">
        <v>8</v>
      </c>
      <c r="I509">
        <v>240938</v>
      </c>
      <c r="J509" t="s">
        <v>29</v>
      </c>
      <c r="K509" t="s">
        <v>8</v>
      </c>
      <c r="L509" t="s">
        <v>32</v>
      </c>
      <c r="M509">
        <v>1</v>
      </c>
    </row>
    <row r="510" spans="1:13" x14ac:dyDescent="0.3">
      <c r="A510">
        <v>100509</v>
      </c>
      <c r="B510">
        <v>10</v>
      </c>
      <c r="C510" t="str">
        <f t="shared" si="7"/>
        <v>0-18</v>
      </c>
      <c r="D510" t="s">
        <v>12</v>
      </c>
      <c r="E510" t="s">
        <v>18</v>
      </c>
      <c r="F510" t="s">
        <v>22</v>
      </c>
      <c r="G510" t="s">
        <v>27</v>
      </c>
      <c r="H510">
        <v>5</v>
      </c>
      <c r="I510">
        <v>31320</v>
      </c>
      <c r="J510" t="s">
        <v>28</v>
      </c>
      <c r="K510" t="s">
        <v>30</v>
      </c>
      <c r="L510" t="s">
        <v>34</v>
      </c>
      <c r="M510">
        <v>1</v>
      </c>
    </row>
    <row r="511" spans="1:13" x14ac:dyDescent="0.3">
      <c r="A511">
        <v>100510</v>
      </c>
      <c r="B511">
        <v>73</v>
      </c>
      <c r="C511" t="str">
        <f t="shared" si="7"/>
        <v>60+</v>
      </c>
      <c r="D511" t="s">
        <v>13</v>
      </c>
      <c r="E511" t="s">
        <v>14</v>
      </c>
      <c r="F511" t="s">
        <v>22</v>
      </c>
      <c r="G511" t="s">
        <v>26</v>
      </c>
      <c r="H511">
        <v>15</v>
      </c>
      <c r="I511">
        <v>202948</v>
      </c>
      <c r="J511" t="s">
        <v>28</v>
      </c>
      <c r="K511" t="s">
        <v>30</v>
      </c>
      <c r="L511" t="s">
        <v>33</v>
      </c>
      <c r="M511">
        <v>2</v>
      </c>
    </row>
    <row r="512" spans="1:13" x14ac:dyDescent="0.3">
      <c r="A512">
        <v>100511</v>
      </c>
      <c r="B512">
        <v>24</v>
      </c>
      <c r="C512" t="str">
        <f t="shared" si="7"/>
        <v>19-40</v>
      </c>
      <c r="D512" t="s">
        <v>13</v>
      </c>
      <c r="E512" t="s">
        <v>15</v>
      </c>
      <c r="F512" t="s">
        <v>22</v>
      </c>
      <c r="G512" t="s">
        <v>26</v>
      </c>
      <c r="H512">
        <v>1</v>
      </c>
      <c r="I512">
        <v>36924</v>
      </c>
      <c r="J512" t="s">
        <v>29</v>
      </c>
      <c r="K512" t="s">
        <v>30</v>
      </c>
      <c r="L512" t="s">
        <v>33</v>
      </c>
      <c r="M512">
        <v>5</v>
      </c>
    </row>
    <row r="513" spans="1:13" x14ac:dyDescent="0.3">
      <c r="A513">
        <v>100512</v>
      </c>
      <c r="B513">
        <v>64</v>
      </c>
      <c r="C513" t="str">
        <f t="shared" si="7"/>
        <v>60+</v>
      </c>
      <c r="D513" t="s">
        <v>12</v>
      </c>
      <c r="E513" t="s">
        <v>14</v>
      </c>
      <c r="F513" t="s">
        <v>23</v>
      </c>
      <c r="G513" t="s">
        <v>27</v>
      </c>
      <c r="H513">
        <v>1</v>
      </c>
      <c r="I513">
        <v>214792</v>
      </c>
      <c r="J513" t="s">
        <v>29</v>
      </c>
      <c r="K513" t="s">
        <v>31</v>
      </c>
      <c r="L513" t="s">
        <v>32</v>
      </c>
      <c r="M513">
        <v>3</v>
      </c>
    </row>
    <row r="514" spans="1:13" x14ac:dyDescent="0.3">
      <c r="A514">
        <v>100513</v>
      </c>
      <c r="B514">
        <v>49</v>
      </c>
      <c r="C514" t="str">
        <f t="shared" ref="C514:C577" si="8">IF(B514&lt;=18,"0-18",IF(B514&lt;=40,"19-40",IF(B514&lt;=60,"41-60","60+")))</f>
        <v>41-60</v>
      </c>
      <c r="D514" t="s">
        <v>13</v>
      </c>
      <c r="E514" t="s">
        <v>17</v>
      </c>
      <c r="F514" t="s">
        <v>24</v>
      </c>
      <c r="G514" t="s">
        <v>25</v>
      </c>
      <c r="H514">
        <v>10</v>
      </c>
      <c r="I514">
        <v>173806</v>
      </c>
      <c r="J514" t="s">
        <v>29</v>
      </c>
      <c r="K514" t="s">
        <v>30</v>
      </c>
      <c r="L514" t="s">
        <v>32</v>
      </c>
      <c r="M514">
        <v>4</v>
      </c>
    </row>
    <row r="515" spans="1:13" x14ac:dyDescent="0.3">
      <c r="A515">
        <v>100514</v>
      </c>
      <c r="B515">
        <v>36</v>
      </c>
      <c r="C515" t="str">
        <f t="shared" si="8"/>
        <v>19-40</v>
      </c>
      <c r="D515" t="s">
        <v>13</v>
      </c>
      <c r="E515" t="s">
        <v>15</v>
      </c>
      <c r="F515" t="s">
        <v>24</v>
      </c>
      <c r="G515" t="s">
        <v>25</v>
      </c>
      <c r="H515">
        <v>10</v>
      </c>
      <c r="I515">
        <v>70116</v>
      </c>
      <c r="J515" t="s">
        <v>29</v>
      </c>
      <c r="K515" t="s">
        <v>31</v>
      </c>
      <c r="L515" t="s">
        <v>35</v>
      </c>
      <c r="M515">
        <v>2</v>
      </c>
    </row>
    <row r="516" spans="1:13" x14ac:dyDescent="0.3">
      <c r="A516">
        <v>100515</v>
      </c>
      <c r="B516">
        <v>82</v>
      </c>
      <c r="C516" t="str">
        <f t="shared" si="8"/>
        <v>60+</v>
      </c>
      <c r="D516" t="s">
        <v>13</v>
      </c>
      <c r="E516" t="s">
        <v>16</v>
      </c>
      <c r="F516" t="s">
        <v>22</v>
      </c>
      <c r="G516" t="s">
        <v>27</v>
      </c>
      <c r="H516">
        <v>15</v>
      </c>
      <c r="I516">
        <v>173097</v>
      </c>
      <c r="J516" t="s">
        <v>28</v>
      </c>
      <c r="K516" t="s">
        <v>31</v>
      </c>
      <c r="L516" t="s">
        <v>35</v>
      </c>
      <c r="M516">
        <v>3</v>
      </c>
    </row>
    <row r="517" spans="1:13" x14ac:dyDescent="0.3">
      <c r="A517">
        <v>100516</v>
      </c>
      <c r="B517">
        <v>24</v>
      </c>
      <c r="C517" t="str">
        <f t="shared" si="8"/>
        <v>19-40</v>
      </c>
      <c r="D517" t="s">
        <v>13</v>
      </c>
      <c r="E517" t="s">
        <v>19</v>
      </c>
      <c r="F517" t="s">
        <v>23</v>
      </c>
      <c r="G517" t="s">
        <v>26</v>
      </c>
      <c r="H517">
        <v>17</v>
      </c>
      <c r="I517">
        <v>227575</v>
      </c>
      <c r="J517" t="s">
        <v>29</v>
      </c>
      <c r="K517" t="s">
        <v>30</v>
      </c>
      <c r="L517" t="s">
        <v>34</v>
      </c>
      <c r="M517">
        <v>5</v>
      </c>
    </row>
    <row r="518" spans="1:13" x14ac:dyDescent="0.3">
      <c r="A518">
        <v>100517</v>
      </c>
      <c r="B518">
        <v>23</v>
      </c>
      <c r="C518" t="str">
        <f t="shared" si="8"/>
        <v>19-40</v>
      </c>
      <c r="D518" t="s">
        <v>13</v>
      </c>
      <c r="E518" t="s">
        <v>16</v>
      </c>
      <c r="F518" t="s">
        <v>24</v>
      </c>
      <c r="G518" t="s">
        <v>27</v>
      </c>
      <c r="H518">
        <v>6</v>
      </c>
      <c r="I518">
        <v>4159</v>
      </c>
      <c r="J518" t="s">
        <v>29</v>
      </c>
      <c r="K518" t="s">
        <v>30</v>
      </c>
      <c r="L518" t="s">
        <v>32</v>
      </c>
      <c r="M518">
        <v>3</v>
      </c>
    </row>
    <row r="519" spans="1:13" x14ac:dyDescent="0.3">
      <c r="A519">
        <v>100518</v>
      </c>
      <c r="B519">
        <v>62</v>
      </c>
      <c r="C519" t="str">
        <f t="shared" si="8"/>
        <v>60+</v>
      </c>
      <c r="D519" t="s">
        <v>12</v>
      </c>
      <c r="E519" t="s">
        <v>18</v>
      </c>
      <c r="F519" t="s">
        <v>24</v>
      </c>
      <c r="G519" t="s">
        <v>25</v>
      </c>
      <c r="H519">
        <v>3</v>
      </c>
      <c r="I519">
        <v>50940</v>
      </c>
      <c r="J519" t="s">
        <v>29</v>
      </c>
      <c r="K519" t="s">
        <v>30</v>
      </c>
      <c r="L519" t="s">
        <v>32</v>
      </c>
      <c r="M519">
        <v>1</v>
      </c>
    </row>
    <row r="520" spans="1:13" x14ac:dyDescent="0.3">
      <c r="A520">
        <v>100519</v>
      </c>
      <c r="B520">
        <v>37</v>
      </c>
      <c r="C520" t="str">
        <f t="shared" si="8"/>
        <v>19-40</v>
      </c>
      <c r="D520" t="s">
        <v>13</v>
      </c>
      <c r="E520" t="s">
        <v>14</v>
      </c>
      <c r="F520" t="s">
        <v>24</v>
      </c>
      <c r="G520" t="s">
        <v>25</v>
      </c>
      <c r="H520">
        <v>13</v>
      </c>
      <c r="I520">
        <v>81436</v>
      </c>
      <c r="J520" t="s">
        <v>29</v>
      </c>
      <c r="K520" t="s">
        <v>31</v>
      </c>
      <c r="L520" t="s">
        <v>32</v>
      </c>
      <c r="M520">
        <v>1</v>
      </c>
    </row>
    <row r="521" spans="1:13" x14ac:dyDescent="0.3">
      <c r="A521">
        <v>100520</v>
      </c>
      <c r="B521">
        <v>12</v>
      </c>
      <c r="C521" t="str">
        <f t="shared" si="8"/>
        <v>0-18</v>
      </c>
      <c r="D521" t="s">
        <v>13</v>
      </c>
      <c r="E521" t="s">
        <v>17</v>
      </c>
      <c r="F521" t="s">
        <v>23</v>
      </c>
      <c r="G521" t="s">
        <v>27</v>
      </c>
      <c r="H521">
        <v>16</v>
      </c>
      <c r="I521">
        <v>210048</v>
      </c>
      <c r="J521" t="s">
        <v>29</v>
      </c>
      <c r="K521" t="s">
        <v>8</v>
      </c>
      <c r="L521" t="s">
        <v>33</v>
      </c>
      <c r="M521">
        <v>2</v>
      </c>
    </row>
    <row r="522" spans="1:13" x14ac:dyDescent="0.3">
      <c r="A522">
        <v>100521</v>
      </c>
      <c r="B522">
        <v>55</v>
      </c>
      <c r="C522" t="str">
        <f t="shared" si="8"/>
        <v>41-60</v>
      </c>
      <c r="D522" t="s">
        <v>13</v>
      </c>
      <c r="E522" t="s">
        <v>15</v>
      </c>
      <c r="F522" t="s">
        <v>23</v>
      </c>
      <c r="G522" t="s">
        <v>27</v>
      </c>
      <c r="H522">
        <v>8</v>
      </c>
      <c r="I522">
        <v>16678</v>
      </c>
      <c r="J522" t="s">
        <v>28</v>
      </c>
      <c r="K522" t="s">
        <v>30</v>
      </c>
      <c r="L522" t="s">
        <v>34</v>
      </c>
      <c r="M522">
        <v>5</v>
      </c>
    </row>
    <row r="523" spans="1:13" x14ac:dyDescent="0.3">
      <c r="A523">
        <v>100522</v>
      </c>
      <c r="B523">
        <v>13</v>
      </c>
      <c r="C523" t="str">
        <f t="shared" si="8"/>
        <v>0-18</v>
      </c>
      <c r="D523" t="s">
        <v>13</v>
      </c>
      <c r="E523" t="s">
        <v>15</v>
      </c>
      <c r="F523" t="s">
        <v>22</v>
      </c>
      <c r="G523" t="s">
        <v>25</v>
      </c>
      <c r="H523">
        <v>15</v>
      </c>
      <c r="I523">
        <v>194147</v>
      </c>
      <c r="J523" t="s">
        <v>29</v>
      </c>
      <c r="K523" t="s">
        <v>30</v>
      </c>
      <c r="L523" t="s">
        <v>35</v>
      </c>
      <c r="M523">
        <v>5</v>
      </c>
    </row>
    <row r="524" spans="1:13" x14ac:dyDescent="0.3">
      <c r="A524">
        <v>100523</v>
      </c>
      <c r="B524">
        <v>23</v>
      </c>
      <c r="C524" t="str">
        <f t="shared" si="8"/>
        <v>19-40</v>
      </c>
      <c r="D524" t="s">
        <v>12</v>
      </c>
      <c r="E524" t="s">
        <v>14</v>
      </c>
      <c r="F524" t="s">
        <v>21</v>
      </c>
      <c r="G524" t="s">
        <v>27</v>
      </c>
      <c r="H524">
        <v>17</v>
      </c>
      <c r="I524">
        <v>180276</v>
      </c>
      <c r="J524" t="s">
        <v>28</v>
      </c>
      <c r="K524" t="s">
        <v>30</v>
      </c>
      <c r="L524" t="s">
        <v>33</v>
      </c>
      <c r="M524">
        <v>3</v>
      </c>
    </row>
    <row r="525" spans="1:13" x14ac:dyDescent="0.3">
      <c r="A525">
        <v>100524</v>
      </c>
      <c r="B525">
        <v>89</v>
      </c>
      <c r="C525" t="str">
        <f t="shared" si="8"/>
        <v>60+</v>
      </c>
      <c r="D525" t="s">
        <v>12</v>
      </c>
      <c r="E525" t="s">
        <v>17</v>
      </c>
      <c r="F525" t="s">
        <v>24</v>
      </c>
      <c r="G525" t="s">
        <v>25</v>
      </c>
      <c r="H525">
        <v>17</v>
      </c>
      <c r="I525">
        <v>145093</v>
      </c>
      <c r="J525" t="s">
        <v>29</v>
      </c>
      <c r="K525" t="s">
        <v>31</v>
      </c>
      <c r="L525" t="s">
        <v>33</v>
      </c>
      <c r="M525">
        <v>2</v>
      </c>
    </row>
    <row r="526" spans="1:13" x14ac:dyDescent="0.3">
      <c r="A526">
        <v>100525</v>
      </c>
      <c r="B526">
        <v>30</v>
      </c>
      <c r="C526" t="str">
        <f t="shared" si="8"/>
        <v>19-40</v>
      </c>
      <c r="D526" t="s">
        <v>12</v>
      </c>
      <c r="E526" t="s">
        <v>14</v>
      </c>
      <c r="F526" t="s">
        <v>21</v>
      </c>
      <c r="G526" t="s">
        <v>27</v>
      </c>
      <c r="H526">
        <v>13</v>
      </c>
      <c r="I526">
        <v>139844</v>
      </c>
      <c r="J526" t="s">
        <v>29</v>
      </c>
      <c r="K526" t="s">
        <v>31</v>
      </c>
      <c r="L526" t="s">
        <v>33</v>
      </c>
      <c r="M526">
        <v>5</v>
      </c>
    </row>
    <row r="527" spans="1:13" x14ac:dyDescent="0.3">
      <c r="A527">
        <v>100526</v>
      </c>
      <c r="B527">
        <v>17</v>
      </c>
      <c r="C527" t="str">
        <f t="shared" si="8"/>
        <v>0-18</v>
      </c>
      <c r="D527" t="s">
        <v>12</v>
      </c>
      <c r="E527" t="s">
        <v>18</v>
      </c>
      <c r="F527" t="s">
        <v>23</v>
      </c>
      <c r="G527" t="s">
        <v>27</v>
      </c>
      <c r="H527">
        <v>17</v>
      </c>
      <c r="I527">
        <v>69163</v>
      </c>
      <c r="J527" t="s">
        <v>29</v>
      </c>
      <c r="K527" t="s">
        <v>8</v>
      </c>
      <c r="L527" t="s">
        <v>33</v>
      </c>
      <c r="M527">
        <v>1</v>
      </c>
    </row>
    <row r="528" spans="1:13" x14ac:dyDescent="0.3">
      <c r="A528">
        <v>100527</v>
      </c>
      <c r="B528">
        <v>62</v>
      </c>
      <c r="C528" t="str">
        <f t="shared" si="8"/>
        <v>60+</v>
      </c>
      <c r="D528" t="s">
        <v>13</v>
      </c>
      <c r="E528" t="s">
        <v>16</v>
      </c>
      <c r="F528" t="s">
        <v>23</v>
      </c>
      <c r="G528" t="s">
        <v>27</v>
      </c>
      <c r="H528">
        <v>6</v>
      </c>
      <c r="I528">
        <v>243040</v>
      </c>
      <c r="J528" t="s">
        <v>29</v>
      </c>
      <c r="K528" t="s">
        <v>30</v>
      </c>
      <c r="L528" t="s">
        <v>34</v>
      </c>
      <c r="M528">
        <v>3</v>
      </c>
    </row>
    <row r="529" spans="1:13" x14ac:dyDescent="0.3">
      <c r="A529">
        <v>100528</v>
      </c>
      <c r="B529">
        <v>84</v>
      </c>
      <c r="C529" t="str">
        <f t="shared" si="8"/>
        <v>60+</v>
      </c>
      <c r="D529" t="s">
        <v>12</v>
      </c>
      <c r="E529" t="s">
        <v>15</v>
      </c>
      <c r="F529" t="s">
        <v>23</v>
      </c>
      <c r="G529" t="s">
        <v>25</v>
      </c>
      <c r="H529">
        <v>17</v>
      </c>
      <c r="I529">
        <v>206827</v>
      </c>
      <c r="J529" t="s">
        <v>29</v>
      </c>
      <c r="K529" t="s">
        <v>31</v>
      </c>
      <c r="L529" t="s">
        <v>32</v>
      </c>
      <c r="M529">
        <v>4</v>
      </c>
    </row>
    <row r="530" spans="1:13" x14ac:dyDescent="0.3">
      <c r="A530">
        <v>100529</v>
      </c>
      <c r="B530">
        <v>89</v>
      </c>
      <c r="C530" t="str">
        <f t="shared" si="8"/>
        <v>60+</v>
      </c>
      <c r="D530" t="s">
        <v>13</v>
      </c>
      <c r="E530" t="s">
        <v>18</v>
      </c>
      <c r="F530" t="s">
        <v>21</v>
      </c>
      <c r="G530" t="s">
        <v>27</v>
      </c>
      <c r="H530">
        <v>16</v>
      </c>
      <c r="I530">
        <v>156536</v>
      </c>
      <c r="J530" t="s">
        <v>29</v>
      </c>
      <c r="K530" t="s">
        <v>8</v>
      </c>
      <c r="L530" t="s">
        <v>35</v>
      </c>
      <c r="M530">
        <v>1</v>
      </c>
    </row>
    <row r="531" spans="1:13" x14ac:dyDescent="0.3">
      <c r="A531">
        <v>100530</v>
      </c>
      <c r="B531">
        <v>86</v>
      </c>
      <c r="C531" t="str">
        <f t="shared" si="8"/>
        <v>60+</v>
      </c>
      <c r="D531" t="s">
        <v>13</v>
      </c>
      <c r="E531" t="s">
        <v>16</v>
      </c>
      <c r="F531" t="s">
        <v>23</v>
      </c>
      <c r="G531" t="s">
        <v>25</v>
      </c>
      <c r="H531">
        <v>14</v>
      </c>
      <c r="I531">
        <v>53137</v>
      </c>
      <c r="J531" t="s">
        <v>29</v>
      </c>
      <c r="K531" t="s">
        <v>30</v>
      </c>
      <c r="L531" t="s">
        <v>35</v>
      </c>
      <c r="M531">
        <v>2</v>
      </c>
    </row>
    <row r="532" spans="1:13" x14ac:dyDescent="0.3">
      <c r="A532">
        <v>100531</v>
      </c>
      <c r="B532">
        <v>13</v>
      </c>
      <c r="C532" t="str">
        <f t="shared" si="8"/>
        <v>0-18</v>
      </c>
      <c r="D532" t="s">
        <v>13</v>
      </c>
      <c r="E532" t="s">
        <v>18</v>
      </c>
      <c r="F532" t="s">
        <v>22</v>
      </c>
      <c r="G532" t="s">
        <v>25</v>
      </c>
      <c r="H532">
        <v>13</v>
      </c>
      <c r="I532">
        <v>163304</v>
      </c>
      <c r="J532" t="s">
        <v>29</v>
      </c>
      <c r="K532" t="s">
        <v>31</v>
      </c>
      <c r="L532" t="s">
        <v>33</v>
      </c>
      <c r="M532">
        <v>5</v>
      </c>
    </row>
    <row r="533" spans="1:13" x14ac:dyDescent="0.3">
      <c r="A533">
        <v>100532</v>
      </c>
      <c r="B533">
        <v>59</v>
      </c>
      <c r="C533" t="str">
        <f t="shared" si="8"/>
        <v>41-60</v>
      </c>
      <c r="D533" t="s">
        <v>13</v>
      </c>
      <c r="E533" t="s">
        <v>17</v>
      </c>
      <c r="F533" t="s">
        <v>23</v>
      </c>
      <c r="G533" t="s">
        <v>27</v>
      </c>
      <c r="H533">
        <v>6</v>
      </c>
      <c r="I533">
        <v>63497</v>
      </c>
      <c r="J533" t="s">
        <v>28</v>
      </c>
      <c r="K533" t="s">
        <v>30</v>
      </c>
      <c r="L533" t="s">
        <v>33</v>
      </c>
      <c r="M533">
        <v>1</v>
      </c>
    </row>
    <row r="534" spans="1:13" x14ac:dyDescent="0.3">
      <c r="A534">
        <v>100533</v>
      </c>
      <c r="B534">
        <v>19</v>
      </c>
      <c r="C534" t="str">
        <f t="shared" si="8"/>
        <v>19-40</v>
      </c>
      <c r="D534" t="s">
        <v>13</v>
      </c>
      <c r="E534" t="s">
        <v>15</v>
      </c>
      <c r="F534" t="s">
        <v>20</v>
      </c>
      <c r="G534" t="s">
        <v>27</v>
      </c>
      <c r="H534">
        <v>3</v>
      </c>
      <c r="I534">
        <v>241089</v>
      </c>
      <c r="J534" t="s">
        <v>29</v>
      </c>
      <c r="K534" t="s">
        <v>30</v>
      </c>
      <c r="L534" t="s">
        <v>34</v>
      </c>
      <c r="M534">
        <v>4</v>
      </c>
    </row>
    <row r="535" spans="1:13" x14ac:dyDescent="0.3">
      <c r="A535">
        <v>100534</v>
      </c>
      <c r="B535">
        <v>49</v>
      </c>
      <c r="C535" t="str">
        <f t="shared" si="8"/>
        <v>41-60</v>
      </c>
      <c r="D535" t="s">
        <v>12</v>
      </c>
      <c r="E535" t="s">
        <v>14</v>
      </c>
      <c r="F535" t="s">
        <v>21</v>
      </c>
      <c r="G535" t="s">
        <v>25</v>
      </c>
      <c r="H535">
        <v>14</v>
      </c>
      <c r="I535">
        <v>207096</v>
      </c>
      <c r="J535" t="s">
        <v>28</v>
      </c>
      <c r="K535" t="s">
        <v>31</v>
      </c>
      <c r="L535" t="s">
        <v>33</v>
      </c>
      <c r="M535">
        <v>4</v>
      </c>
    </row>
    <row r="536" spans="1:13" x14ac:dyDescent="0.3">
      <c r="A536">
        <v>100535</v>
      </c>
      <c r="B536">
        <v>12</v>
      </c>
      <c r="C536" t="str">
        <f t="shared" si="8"/>
        <v>0-18</v>
      </c>
      <c r="D536" t="s">
        <v>12</v>
      </c>
      <c r="E536" t="s">
        <v>14</v>
      </c>
      <c r="F536" t="s">
        <v>20</v>
      </c>
      <c r="G536" t="s">
        <v>25</v>
      </c>
      <c r="H536">
        <v>14</v>
      </c>
      <c r="I536">
        <v>102485</v>
      </c>
      <c r="J536" t="s">
        <v>29</v>
      </c>
      <c r="K536" t="s">
        <v>31</v>
      </c>
      <c r="L536" t="s">
        <v>35</v>
      </c>
      <c r="M536">
        <v>2</v>
      </c>
    </row>
    <row r="537" spans="1:13" x14ac:dyDescent="0.3">
      <c r="A537">
        <v>100536</v>
      </c>
      <c r="B537">
        <v>61</v>
      </c>
      <c r="C537" t="str">
        <f t="shared" si="8"/>
        <v>60+</v>
      </c>
      <c r="D537" t="s">
        <v>12</v>
      </c>
      <c r="E537" t="s">
        <v>16</v>
      </c>
      <c r="F537" t="s">
        <v>23</v>
      </c>
      <c r="G537" t="s">
        <v>26</v>
      </c>
      <c r="H537">
        <v>15</v>
      </c>
      <c r="I537">
        <v>242970</v>
      </c>
      <c r="J537" t="s">
        <v>28</v>
      </c>
      <c r="K537" t="s">
        <v>31</v>
      </c>
      <c r="L537" t="s">
        <v>35</v>
      </c>
      <c r="M537">
        <v>1</v>
      </c>
    </row>
    <row r="538" spans="1:13" x14ac:dyDescent="0.3">
      <c r="A538">
        <v>100537</v>
      </c>
      <c r="B538">
        <v>19</v>
      </c>
      <c r="C538" t="str">
        <f t="shared" si="8"/>
        <v>19-40</v>
      </c>
      <c r="D538" t="s">
        <v>12</v>
      </c>
      <c r="E538" t="s">
        <v>19</v>
      </c>
      <c r="F538" t="s">
        <v>22</v>
      </c>
      <c r="G538" t="s">
        <v>25</v>
      </c>
      <c r="H538">
        <v>8</v>
      </c>
      <c r="I538">
        <v>184520</v>
      </c>
      <c r="J538" t="s">
        <v>29</v>
      </c>
      <c r="K538" t="s">
        <v>30</v>
      </c>
      <c r="L538" t="s">
        <v>32</v>
      </c>
      <c r="M538">
        <v>3</v>
      </c>
    </row>
    <row r="539" spans="1:13" x14ac:dyDescent="0.3">
      <c r="A539">
        <v>100538</v>
      </c>
      <c r="B539">
        <v>76</v>
      </c>
      <c r="C539" t="str">
        <f t="shared" si="8"/>
        <v>60+</v>
      </c>
      <c r="D539" t="s">
        <v>13</v>
      </c>
      <c r="E539" t="s">
        <v>17</v>
      </c>
      <c r="F539" t="s">
        <v>24</v>
      </c>
      <c r="G539" t="s">
        <v>26</v>
      </c>
      <c r="H539">
        <v>15</v>
      </c>
      <c r="I539">
        <v>107468</v>
      </c>
      <c r="J539" t="s">
        <v>29</v>
      </c>
      <c r="K539" t="s">
        <v>30</v>
      </c>
      <c r="L539" t="s">
        <v>32</v>
      </c>
      <c r="M539">
        <v>1</v>
      </c>
    </row>
    <row r="540" spans="1:13" x14ac:dyDescent="0.3">
      <c r="A540">
        <v>100539</v>
      </c>
      <c r="B540">
        <v>9</v>
      </c>
      <c r="C540" t="str">
        <f t="shared" si="8"/>
        <v>0-18</v>
      </c>
      <c r="D540" t="s">
        <v>12</v>
      </c>
      <c r="E540" t="s">
        <v>16</v>
      </c>
      <c r="F540" t="s">
        <v>23</v>
      </c>
      <c r="G540" t="s">
        <v>26</v>
      </c>
      <c r="H540">
        <v>13</v>
      </c>
      <c r="I540">
        <v>217589</v>
      </c>
      <c r="J540" t="s">
        <v>29</v>
      </c>
      <c r="K540" t="s">
        <v>8</v>
      </c>
      <c r="L540" t="s">
        <v>35</v>
      </c>
      <c r="M540">
        <v>4</v>
      </c>
    </row>
    <row r="541" spans="1:13" x14ac:dyDescent="0.3">
      <c r="A541">
        <v>100540</v>
      </c>
      <c r="B541">
        <v>71</v>
      </c>
      <c r="C541" t="str">
        <f t="shared" si="8"/>
        <v>60+</v>
      </c>
      <c r="D541" t="s">
        <v>13</v>
      </c>
      <c r="E541" t="s">
        <v>19</v>
      </c>
      <c r="F541" t="s">
        <v>22</v>
      </c>
      <c r="G541" t="s">
        <v>26</v>
      </c>
      <c r="H541">
        <v>17</v>
      </c>
      <c r="I541">
        <v>2901</v>
      </c>
      <c r="J541" t="s">
        <v>28</v>
      </c>
      <c r="K541" t="s">
        <v>30</v>
      </c>
      <c r="L541" t="s">
        <v>35</v>
      </c>
      <c r="M541">
        <v>2</v>
      </c>
    </row>
    <row r="542" spans="1:13" x14ac:dyDescent="0.3">
      <c r="A542">
        <v>100541</v>
      </c>
      <c r="B542">
        <v>28</v>
      </c>
      <c r="C542" t="str">
        <f t="shared" si="8"/>
        <v>19-40</v>
      </c>
      <c r="D542" t="s">
        <v>12</v>
      </c>
      <c r="E542" t="s">
        <v>18</v>
      </c>
      <c r="F542" t="s">
        <v>21</v>
      </c>
      <c r="G542" t="s">
        <v>27</v>
      </c>
      <c r="H542">
        <v>3</v>
      </c>
      <c r="I542">
        <v>89980</v>
      </c>
      <c r="J542" t="s">
        <v>28</v>
      </c>
      <c r="K542" t="s">
        <v>31</v>
      </c>
      <c r="L542" t="s">
        <v>34</v>
      </c>
      <c r="M542">
        <v>2</v>
      </c>
    </row>
    <row r="543" spans="1:13" x14ac:dyDescent="0.3">
      <c r="A543">
        <v>100542</v>
      </c>
      <c r="B543">
        <v>78</v>
      </c>
      <c r="C543" t="str">
        <f t="shared" si="8"/>
        <v>60+</v>
      </c>
      <c r="D543" t="s">
        <v>13</v>
      </c>
      <c r="E543" t="s">
        <v>17</v>
      </c>
      <c r="F543" t="s">
        <v>20</v>
      </c>
      <c r="G543" t="s">
        <v>27</v>
      </c>
      <c r="H543">
        <v>6</v>
      </c>
      <c r="I543">
        <v>109594</v>
      </c>
      <c r="J543" t="s">
        <v>28</v>
      </c>
      <c r="K543" t="s">
        <v>30</v>
      </c>
      <c r="L543" t="s">
        <v>34</v>
      </c>
      <c r="M543">
        <v>3</v>
      </c>
    </row>
    <row r="544" spans="1:13" x14ac:dyDescent="0.3">
      <c r="A544">
        <v>100543</v>
      </c>
      <c r="B544">
        <v>52</v>
      </c>
      <c r="C544" t="str">
        <f t="shared" si="8"/>
        <v>41-60</v>
      </c>
      <c r="D544" t="s">
        <v>13</v>
      </c>
      <c r="E544" t="s">
        <v>18</v>
      </c>
      <c r="F544" t="s">
        <v>20</v>
      </c>
      <c r="G544" t="s">
        <v>25</v>
      </c>
      <c r="H544">
        <v>5</v>
      </c>
      <c r="I544">
        <v>216669</v>
      </c>
      <c r="J544" t="s">
        <v>28</v>
      </c>
      <c r="K544" t="s">
        <v>8</v>
      </c>
      <c r="L544" t="s">
        <v>35</v>
      </c>
      <c r="M544">
        <v>2</v>
      </c>
    </row>
    <row r="545" spans="1:13" x14ac:dyDescent="0.3">
      <c r="A545">
        <v>100544</v>
      </c>
      <c r="B545">
        <v>83</v>
      </c>
      <c r="C545" t="str">
        <f t="shared" si="8"/>
        <v>60+</v>
      </c>
      <c r="D545" t="s">
        <v>12</v>
      </c>
      <c r="E545" t="s">
        <v>15</v>
      </c>
      <c r="F545" t="s">
        <v>20</v>
      </c>
      <c r="G545" t="s">
        <v>26</v>
      </c>
      <c r="H545">
        <v>17</v>
      </c>
      <c r="I545">
        <v>4881</v>
      </c>
      <c r="J545" t="s">
        <v>29</v>
      </c>
      <c r="K545" t="s">
        <v>8</v>
      </c>
      <c r="L545" t="s">
        <v>33</v>
      </c>
      <c r="M545">
        <v>2</v>
      </c>
    </row>
    <row r="546" spans="1:13" x14ac:dyDescent="0.3">
      <c r="A546">
        <v>100545</v>
      </c>
      <c r="B546">
        <v>16</v>
      </c>
      <c r="C546" t="str">
        <f t="shared" si="8"/>
        <v>0-18</v>
      </c>
      <c r="D546" t="s">
        <v>13</v>
      </c>
      <c r="E546" t="s">
        <v>17</v>
      </c>
      <c r="F546" t="s">
        <v>21</v>
      </c>
      <c r="G546" t="s">
        <v>27</v>
      </c>
      <c r="H546">
        <v>2</v>
      </c>
      <c r="I546">
        <v>31863</v>
      </c>
      <c r="J546" t="s">
        <v>29</v>
      </c>
      <c r="K546" t="s">
        <v>31</v>
      </c>
      <c r="L546" t="s">
        <v>32</v>
      </c>
      <c r="M546">
        <v>2</v>
      </c>
    </row>
    <row r="547" spans="1:13" x14ac:dyDescent="0.3">
      <c r="A547">
        <v>100546</v>
      </c>
      <c r="B547">
        <v>69</v>
      </c>
      <c r="C547" t="str">
        <f t="shared" si="8"/>
        <v>60+</v>
      </c>
      <c r="D547" t="s">
        <v>13</v>
      </c>
      <c r="E547" t="s">
        <v>19</v>
      </c>
      <c r="F547" t="s">
        <v>22</v>
      </c>
      <c r="G547" t="s">
        <v>27</v>
      </c>
      <c r="H547">
        <v>15</v>
      </c>
      <c r="I547">
        <v>244434</v>
      </c>
      <c r="J547" t="s">
        <v>29</v>
      </c>
      <c r="K547" t="s">
        <v>31</v>
      </c>
      <c r="L547" t="s">
        <v>35</v>
      </c>
      <c r="M547">
        <v>2</v>
      </c>
    </row>
    <row r="548" spans="1:13" x14ac:dyDescent="0.3">
      <c r="A548">
        <v>100547</v>
      </c>
      <c r="B548">
        <v>12</v>
      </c>
      <c r="C548" t="str">
        <f t="shared" si="8"/>
        <v>0-18</v>
      </c>
      <c r="D548" t="s">
        <v>12</v>
      </c>
      <c r="E548" t="s">
        <v>15</v>
      </c>
      <c r="F548" t="s">
        <v>21</v>
      </c>
      <c r="G548" t="s">
        <v>27</v>
      </c>
      <c r="H548">
        <v>5</v>
      </c>
      <c r="I548">
        <v>138694</v>
      </c>
      <c r="J548" t="s">
        <v>28</v>
      </c>
      <c r="K548" t="s">
        <v>8</v>
      </c>
      <c r="L548" t="s">
        <v>33</v>
      </c>
      <c r="M548">
        <v>2</v>
      </c>
    </row>
    <row r="549" spans="1:13" x14ac:dyDescent="0.3">
      <c r="A549">
        <v>100548</v>
      </c>
      <c r="B549">
        <v>25</v>
      </c>
      <c r="C549" t="str">
        <f t="shared" si="8"/>
        <v>19-40</v>
      </c>
      <c r="D549" t="s">
        <v>13</v>
      </c>
      <c r="E549" t="s">
        <v>14</v>
      </c>
      <c r="F549" t="s">
        <v>20</v>
      </c>
      <c r="G549" t="s">
        <v>27</v>
      </c>
      <c r="H549">
        <v>6</v>
      </c>
      <c r="I549">
        <v>134450</v>
      </c>
      <c r="J549" t="s">
        <v>29</v>
      </c>
      <c r="K549" t="s">
        <v>8</v>
      </c>
      <c r="L549" t="s">
        <v>35</v>
      </c>
      <c r="M549">
        <v>4</v>
      </c>
    </row>
    <row r="550" spans="1:13" x14ac:dyDescent="0.3">
      <c r="A550">
        <v>100549</v>
      </c>
      <c r="B550">
        <v>52</v>
      </c>
      <c r="C550" t="str">
        <f t="shared" si="8"/>
        <v>41-60</v>
      </c>
      <c r="D550" t="s">
        <v>12</v>
      </c>
      <c r="E550" t="s">
        <v>19</v>
      </c>
      <c r="F550" t="s">
        <v>23</v>
      </c>
      <c r="G550" t="s">
        <v>27</v>
      </c>
      <c r="H550">
        <v>6</v>
      </c>
      <c r="I550">
        <v>216240</v>
      </c>
      <c r="J550" t="s">
        <v>28</v>
      </c>
      <c r="K550" t="s">
        <v>8</v>
      </c>
      <c r="L550" t="s">
        <v>32</v>
      </c>
      <c r="M550">
        <v>1</v>
      </c>
    </row>
    <row r="551" spans="1:13" x14ac:dyDescent="0.3">
      <c r="A551">
        <v>100550</v>
      </c>
      <c r="B551">
        <v>85</v>
      </c>
      <c r="C551" t="str">
        <f t="shared" si="8"/>
        <v>60+</v>
      </c>
      <c r="D551" t="s">
        <v>12</v>
      </c>
      <c r="E551" t="s">
        <v>16</v>
      </c>
      <c r="F551" t="s">
        <v>24</v>
      </c>
      <c r="G551" t="s">
        <v>26</v>
      </c>
      <c r="H551">
        <v>18</v>
      </c>
      <c r="I551">
        <v>226919</v>
      </c>
      <c r="J551" t="s">
        <v>28</v>
      </c>
      <c r="K551" t="s">
        <v>31</v>
      </c>
      <c r="L551" t="s">
        <v>32</v>
      </c>
      <c r="M551">
        <v>5</v>
      </c>
    </row>
    <row r="552" spans="1:13" x14ac:dyDescent="0.3">
      <c r="A552">
        <v>100551</v>
      </c>
      <c r="B552">
        <v>53</v>
      </c>
      <c r="C552" t="str">
        <f t="shared" si="8"/>
        <v>41-60</v>
      </c>
      <c r="D552" t="s">
        <v>12</v>
      </c>
      <c r="E552" t="s">
        <v>14</v>
      </c>
      <c r="F552" t="s">
        <v>21</v>
      </c>
      <c r="G552" t="s">
        <v>26</v>
      </c>
      <c r="H552">
        <v>18</v>
      </c>
      <c r="I552">
        <v>204258</v>
      </c>
      <c r="J552" t="s">
        <v>28</v>
      </c>
      <c r="K552" t="s">
        <v>8</v>
      </c>
      <c r="L552" t="s">
        <v>34</v>
      </c>
      <c r="M552">
        <v>2</v>
      </c>
    </row>
    <row r="553" spans="1:13" x14ac:dyDescent="0.3">
      <c r="A553">
        <v>100552</v>
      </c>
      <c r="B553">
        <v>23</v>
      </c>
      <c r="C553" t="str">
        <f t="shared" si="8"/>
        <v>19-40</v>
      </c>
      <c r="D553" t="s">
        <v>13</v>
      </c>
      <c r="E553" t="s">
        <v>14</v>
      </c>
      <c r="F553" t="s">
        <v>21</v>
      </c>
      <c r="G553" t="s">
        <v>26</v>
      </c>
      <c r="H553">
        <v>4</v>
      </c>
      <c r="I553">
        <v>47201</v>
      </c>
      <c r="J553" t="s">
        <v>28</v>
      </c>
      <c r="K553" t="s">
        <v>8</v>
      </c>
      <c r="L553" t="s">
        <v>34</v>
      </c>
      <c r="M553">
        <v>5</v>
      </c>
    </row>
    <row r="554" spans="1:13" x14ac:dyDescent="0.3">
      <c r="A554">
        <v>100553</v>
      </c>
      <c r="B554">
        <v>16</v>
      </c>
      <c r="C554" t="str">
        <f t="shared" si="8"/>
        <v>0-18</v>
      </c>
      <c r="D554" t="s">
        <v>13</v>
      </c>
      <c r="E554" t="s">
        <v>16</v>
      </c>
      <c r="F554" t="s">
        <v>22</v>
      </c>
      <c r="G554" t="s">
        <v>26</v>
      </c>
      <c r="H554">
        <v>17</v>
      </c>
      <c r="I554">
        <v>240832</v>
      </c>
      <c r="J554" t="s">
        <v>28</v>
      </c>
      <c r="K554" t="s">
        <v>31</v>
      </c>
      <c r="L554" t="s">
        <v>34</v>
      </c>
      <c r="M554">
        <v>5</v>
      </c>
    </row>
    <row r="555" spans="1:13" x14ac:dyDescent="0.3">
      <c r="A555">
        <v>100554</v>
      </c>
      <c r="B555">
        <v>57</v>
      </c>
      <c r="C555" t="str">
        <f t="shared" si="8"/>
        <v>41-60</v>
      </c>
      <c r="D555" t="s">
        <v>13</v>
      </c>
      <c r="E555" t="s">
        <v>17</v>
      </c>
      <c r="F555" t="s">
        <v>22</v>
      </c>
      <c r="G555" t="s">
        <v>25</v>
      </c>
      <c r="H555">
        <v>14</v>
      </c>
      <c r="I555">
        <v>61251</v>
      </c>
      <c r="J555" t="s">
        <v>29</v>
      </c>
      <c r="K555" t="s">
        <v>30</v>
      </c>
      <c r="L555" t="s">
        <v>34</v>
      </c>
      <c r="M555">
        <v>4</v>
      </c>
    </row>
    <row r="556" spans="1:13" x14ac:dyDescent="0.3">
      <c r="A556">
        <v>100555</v>
      </c>
      <c r="B556">
        <v>39</v>
      </c>
      <c r="C556" t="str">
        <f t="shared" si="8"/>
        <v>19-40</v>
      </c>
      <c r="D556" t="s">
        <v>12</v>
      </c>
      <c r="E556" t="s">
        <v>14</v>
      </c>
      <c r="F556" t="s">
        <v>21</v>
      </c>
      <c r="G556" t="s">
        <v>26</v>
      </c>
      <c r="H556">
        <v>14</v>
      </c>
      <c r="I556">
        <v>74572</v>
      </c>
      <c r="J556" t="s">
        <v>28</v>
      </c>
      <c r="K556" t="s">
        <v>30</v>
      </c>
      <c r="L556" t="s">
        <v>32</v>
      </c>
      <c r="M556">
        <v>2</v>
      </c>
    </row>
    <row r="557" spans="1:13" x14ac:dyDescent="0.3">
      <c r="A557">
        <v>100556</v>
      </c>
      <c r="B557">
        <v>53</v>
      </c>
      <c r="C557" t="str">
        <f t="shared" si="8"/>
        <v>41-60</v>
      </c>
      <c r="D557" t="s">
        <v>13</v>
      </c>
      <c r="E557" t="s">
        <v>19</v>
      </c>
      <c r="F557" t="s">
        <v>20</v>
      </c>
      <c r="G557" t="s">
        <v>27</v>
      </c>
      <c r="H557">
        <v>13</v>
      </c>
      <c r="I557">
        <v>41255</v>
      </c>
      <c r="J557" t="s">
        <v>28</v>
      </c>
      <c r="K557" t="s">
        <v>8</v>
      </c>
      <c r="L557" t="s">
        <v>33</v>
      </c>
      <c r="M557">
        <v>5</v>
      </c>
    </row>
    <row r="558" spans="1:13" x14ac:dyDescent="0.3">
      <c r="A558">
        <v>100557</v>
      </c>
      <c r="B558">
        <v>42</v>
      </c>
      <c r="C558" t="str">
        <f t="shared" si="8"/>
        <v>41-60</v>
      </c>
      <c r="D558" t="s">
        <v>12</v>
      </c>
      <c r="E558" t="s">
        <v>15</v>
      </c>
      <c r="F558" t="s">
        <v>24</v>
      </c>
      <c r="G558" t="s">
        <v>26</v>
      </c>
      <c r="H558">
        <v>7</v>
      </c>
      <c r="I558">
        <v>65212</v>
      </c>
      <c r="J558" t="s">
        <v>29</v>
      </c>
      <c r="K558" t="s">
        <v>30</v>
      </c>
      <c r="L558" t="s">
        <v>33</v>
      </c>
      <c r="M558">
        <v>2</v>
      </c>
    </row>
    <row r="559" spans="1:13" x14ac:dyDescent="0.3">
      <c r="A559">
        <v>100558</v>
      </c>
      <c r="B559">
        <v>58</v>
      </c>
      <c r="C559" t="str">
        <f t="shared" si="8"/>
        <v>41-60</v>
      </c>
      <c r="D559" t="s">
        <v>12</v>
      </c>
      <c r="E559" t="s">
        <v>14</v>
      </c>
      <c r="F559" t="s">
        <v>22</v>
      </c>
      <c r="G559" t="s">
        <v>25</v>
      </c>
      <c r="H559">
        <v>12</v>
      </c>
      <c r="I559">
        <v>52210</v>
      </c>
      <c r="J559" t="s">
        <v>28</v>
      </c>
      <c r="K559" t="s">
        <v>30</v>
      </c>
      <c r="L559" t="s">
        <v>33</v>
      </c>
      <c r="M559">
        <v>3</v>
      </c>
    </row>
    <row r="560" spans="1:13" x14ac:dyDescent="0.3">
      <c r="A560">
        <v>100559</v>
      </c>
      <c r="B560">
        <v>39</v>
      </c>
      <c r="C560" t="str">
        <f t="shared" si="8"/>
        <v>19-40</v>
      </c>
      <c r="D560" t="s">
        <v>13</v>
      </c>
      <c r="E560" t="s">
        <v>19</v>
      </c>
      <c r="F560" t="s">
        <v>20</v>
      </c>
      <c r="G560" t="s">
        <v>27</v>
      </c>
      <c r="H560">
        <v>15</v>
      </c>
      <c r="I560">
        <v>127629</v>
      </c>
      <c r="J560" t="s">
        <v>28</v>
      </c>
      <c r="K560" t="s">
        <v>30</v>
      </c>
      <c r="L560" t="s">
        <v>35</v>
      </c>
      <c r="M560">
        <v>3</v>
      </c>
    </row>
    <row r="561" spans="1:13" x14ac:dyDescent="0.3">
      <c r="A561">
        <v>100560</v>
      </c>
      <c r="B561">
        <v>14</v>
      </c>
      <c r="C561" t="str">
        <f t="shared" si="8"/>
        <v>0-18</v>
      </c>
      <c r="D561" t="s">
        <v>12</v>
      </c>
      <c r="E561" t="s">
        <v>18</v>
      </c>
      <c r="F561" t="s">
        <v>23</v>
      </c>
      <c r="G561" t="s">
        <v>26</v>
      </c>
      <c r="H561">
        <v>19</v>
      </c>
      <c r="I561">
        <v>249808</v>
      </c>
      <c r="J561" t="s">
        <v>29</v>
      </c>
      <c r="K561" t="s">
        <v>30</v>
      </c>
      <c r="L561" t="s">
        <v>34</v>
      </c>
      <c r="M561">
        <v>3</v>
      </c>
    </row>
    <row r="562" spans="1:13" x14ac:dyDescent="0.3">
      <c r="A562">
        <v>100561</v>
      </c>
      <c r="B562">
        <v>5</v>
      </c>
      <c r="C562" t="str">
        <f t="shared" si="8"/>
        <v>0-18</v>
      </c>
      <c r="D562" t="s">
        <v>13</v>
      </c>
      <c r="E562" t="s">
        <v>19</v>
      </c>
      <c r="F562" t="s">
        <v>22</v>
      </c>
      <c r="G562" t="s">
        <v>26</v>
      </c>
      <c r="H562">
        <v>11</v>
      </c>
      <c r="I562">
        <v>24499</v>
      </c>
      <c r="J562" t="s">
        <v>29</v>
      </c>
      <c r="K562" t="s">
        <v>8</v>
      </c>
      <c r="L562" t="s">
        <v>34</v>
      </c>
      <c r="M562">
        <v>5</v>
      </c>
    </row>
    <row r="563" spans="1:13" x14ac:dyDescent="0.3">
      <c r="A563">
        <v>100562</v>
      </c>
      <c r="B563">
        <v>35</v>
      </c>
      <c r="C563" t="str">
        <f t="shared" si="8"/>
        <v>19-40</v>
      </c>
      <c r="D563" t="s">
        <v>13</v>
      </c>
      <c r="E563" t="s">
        <v>15</v>
      </c>
      <c r="F563" t="s">
        <v>20</v>
      </c>
      <c r="G563" t="s">
        <v>26</v>
      </c>
      <c r="H563">
        <v>15</v>
      </c>
      <c r="I563">
        <v>104552</v>
      </c>
      <c r="J563" t="s">
        <v>29</v>
      </c>
      <c r="K563" t="s">
        <v>30</v>
      </c>
      <c r="L563" t="s">
        <v>32</v>
      </c>
      <c r="M563">
        <v>3</v>
      </c>
    </row>
    <row r="564" spans="1:13" x14ac:dyDescent="0.3">
      <c r="A564">
        <v>100563</v>
      </c>
      <c r="B564">
        <v>87</v>
      </c>
      <c r="C564" t="str">
        <f t="shared" si="8"/>
        <v>60+</v>
      </c>
      <c r="D564" t="s">
        <v>13</v>
      </c>
      <c r="E564" t="s">
        <v>19</v>
      </c>
      <c r="F564" t="s">
        <v>20</v>
      </c>
      <c r="G564" t="s">
        <v>27</v>
      </c>
      <c r="H564">
        <v>12</v>
      </c>
      <c r="I564">
        <v>184700</v>
      </c>
      <c r="J564" t="s">
        <v>28</v>
      </c>
      <c r="K564" t="s">
        <v>30</v>
      </c>
      <c r="L564" t="s">
        <v>32</v>
      </c>
      <c r="M564">
        <v>4</v>
      </c>
    </row>
    <row r="565" spans="1:13" x14ac:dyDescent="0.3">
      <c r="A565">
        <v>100564</v>
      </c>
      <c r="B565">
        <v>75</v>
      </c>
      <c r="C565" t="str">
        <f t="shared" si="8"/>
        <v>60+</v>
      </c>
      <c r="D565" t="s">
        <v>13</v>
      </c>
      <c r="E565" t="s">
        <v>16</v>
      </c>
      <c r="F565" t="s">
        <v>24</v>
      </c>
      <c r="G565" t="s">
        <v>27</v>
      </c>
      <c r="H565">
        <v>3</v>
      </c>
      <c r="I565">
        <v>63360</v>
      </c>
      <c r="J565" t="s">
        <v>29</v>
      </c>
      <c r="K565" t="s">
        <v>31</v>
      </c>
      <c r="L565" t="s">
        <v>35</v>
      </c>
      <c r="M565">
        <v>4</v>
      </c>
    </row>
    <row r="566" spans="1:13" x14ac:dyDescent="0.3">
      <c r="A566">
        <v>100565</v>
      </c>
      <c r="B566">
        <v>18</v>
      </c>
      <c r="C566" t="str">
        <f t="shared" si="8"/>
        <v>0-18</v>
      </c>
      <c r="D566" t="s">
        <v>13</v>
      </c>
      <c r="E566" t="s">
        <v>15</v>
      </c>
      <c r="F566" t="s">
        <v>24</v>
      </c>
      <c r="G566" t="s">
        <v>25</v>
      </c>
      <c r="H566">
        <v>17</v>
      </c>
      <c r="I566">
        <v>137675</v>
      </c>
      <c r="J566" t="s">
        <v>29</v>
      </c>
      <c r="K566" t="s">
        <v>8</v>
      </c>
      <c r="L566" t="s">
        <v>35</v>
      </c>
      <c r="M566">
        <v>5</v>
      </c>
    </row>
    <row r="567" spans="1:13" x14ac:dyDescent="0.3">
      <c r="A567">
        <v>100566</v>
      </c>
      <c r="B567">
        <v>76</v>
      </c>
      <c r="C567" t="str">
        <f t="shared" si="8"/>
        <v>60+</v>
      </c>
      <c r="D567" t="s">
        <v>12</v>
      </c>
      <c r="E567" t="s">
        <v>17</v>
      </c>
      <c r="F567" t="s">
        <v>23</v>
      </c>
      <c r="G567" t="s">
        <v>27</v>
      </c>
      <c r="H567">
        <v>3</v>
      </c>
      <c r="I567">
        <v>226381</v>
      </c>
      <c r="J567" t="s">
        <v>29</v>
      </c>
      <c r="K567" t="s">
        <v>31</v>
      </c>
      <c r="L567" t="s">
        <v>33</v>
      </c>
      <c r="M567">
        <v>2</v>
      </c>
    </row>
    <row r="568" spans="1:13" x14ac:dyDescent="0.3">
      <c r="A568">
        <v>100567</v>
      </c>
      <c r="B568">
        <v>9</v>
      </c>
      <c r="C568" t="str">
        <f t="shared" si="8"/>
        <v>0-18</v>
      </c>
      <c r="D568" t="s">
        <v>12</v>
      </c>
      <c r="E568" t="s">
        <v>18</v>
      </c>
      <c r="F568" t="s">
        <v>20</v>
      </c>
      <c r="G568" t="s">
        <v>27</v>
      </c>
      <c r="H568">
        <v>19</v>
      </c>
      <c r="I568">
        <v>129466</v>
      </c>
      <c r="J568" t="s">
        <v>28</v>
      </c>
      <c r="K568" t="s">
        <v>31</v>
      </c>
      <c r="L568" t="s">
        <v>32</v>
      </c>
      <c r="M568">
        <v>1</v>
      </c>
    </row>
    <row r="569" spans="1:13" x14ac:dyDescent="0.3">
      <c r="A569">
        <v>100568</v>
      </c>
      <c r="B569">
        <v>74</v>
      </c>
      <c r="C569" t="str">
        <f t="shared" si="8"/>
        <v>60+</v>
      </c>
      <c r="D569" t="s">
        <v>12</v>
      </c>
      <c r="E569" t="s">
        <v>16</v>
      </c>
      <c r="F569" t="s">
        <v>20</v>
      </c>
      <c r="G569" t="s">
        <v>26</v>
      </c>
      <c r="H569">
        <v>4</v>
      </c>
      <c r="I569">
        <v>87473</v>
      </c>
      <c r="J569" t="s">
        <v>29</v>
      </c>
      <c r="K569" t="s">
        <v>8</v>
      </c>
      <c r="L569" t="s">
        <v>34</v>
      </c>
      <c r="M569">
        <v>2</v>
      </c>
    </row>
    <row r="570" spans="1:13" x14ac:dyDescent="0.3">
      <c r="A570">
        <v>100569</v>
      </c>
      <c r="B570">
        <v>58</v>
      </c>
      <c r="C570" t="str">
        <f t="shared" si="8"/>
        <v>41-60</v>
      </c>
      <c r="D570" t="s">
        <v>13</v>
      </c>
      <c r="E570" t="s">
        <v>17</v>
      </c>
      <c r="F570" t="s">
        <v>24</v>
      </c>
      <c r="G570" t="s">
        <v>27</v>
      </c>
      <c r="H570">
        <v>3</v>
      </c>
      <c r="I570">
        <v>145704</v>
      </c>
      <c r="J570" t="s">
        <v>28</v>
      </c>
      <c r="K570" t="s">
        <v>30</v>
      </c>
      <c r="L570" t="s">
        <v>33</v>
      </c>
      <c r="M570">
        <v>2</v>
      </c>
    </row>
    <row r="571" spans="1:13" x14ac:dyDescent="0.3">
      <c r="A571">
        <v>100570</v>
      </c>
      <c r="B571">
        <v>17</v>
      </c>
      <c r="C571" t="str">
        <f t="shared" si="8"/>
        <v>0-18</v>
      </c>
      <c r="D571" t="s">
        <v>13</v>
      </c>
      <c r="E571" t="s">
        <v>19</v>
      </c>
      <c r="F571" t="s">
        <v>22</v>
      </c>
      <c r="G571" t="s">
        <v>26</v>
      </c>
      <c r="H571">
        <v>16</v>
      </c>
      <c r="I571">
        <v>163679</v>
      </c>
      <c r="J571" t="s">
        <v>28</v>
      </c>
      <c r="K571" t="s">
        <v>31</v>
      </c>
      <c r="L571" t="s">
        <v>34</v>
      </c>
      <c r="M571">
        <v>2</v>
      </c>
    </row>
    <row r="572" spans="1:13" x14ac:dyDescent="0.3">
      <c r="A572">
        <v>100571</v>
      </c>
      <c r="B572">
        <v>7</v>
      </c>
      <c r="C572" t="str">
        <f t="shared" si="8"/>
        <v>0-18</v>
      </c>
      <c r="D572" t="s">
        <v>13</v>
      </c>
      <c r="E572" t="s">
        <v>15</v>
      </c>
      <c r="F572" t="s">
        <v>22</v>
      </c>
      <c r="G572" t="s">
        <v>26</v>
      </c>
      <c r="H572">
        <v>12</v>
      </c>
      <c r="I572">
        <v>93873</v>
      </c>
      <c r="J572" t="s">
        <v>29</v>
      </c>
      <c r="K572" t="s">
        <v>8</v>
      </c>
      <c r="L572" t="s">
        <v>33</v>
      </c>
      <c r="M572">
        <v>2</v>
      </c>
    </row>
    <row r="573" spans="1:13" x14ac:dyDescent="0.3">
      <c r="A573">
        <v>100572</v>
      </c>
      <c r="B573">
        <v>46</v>
      </c>
      <c r="C573" t="str">
        <f t="shared" si="8"/>
        <v>41-60</v>
      </c>
      <c r="D573" t="s">
        <v>12</v>
      </c>
      <c r="E573" t="s">
        <v>18</v>
      </c>
      <c r="F573" t="s">
        <v>21</v>
      </c>
      <c r="G573" t="s">
        <v>27</v>
      </c>
      <c r="H573">
        <v>8</v>
      </c>
      <c r="I573">
        <v>67756</v>
      </c>
      <c r="J573" t="s">
        <v>28</v>
      </c>
      <c r="K573" t="s">
        <v>30</v>
      </c>
      <c r="L573" t="s">
        <v>34</v>
      </c>
      <c r="M573">
        <v>1</v>
      </c>
    </row>
    <row r="574" spans="1:13" x14ac:dyDescent="0.3">
      <c r="A574">
        <v>100573</v>
      </c>
      <c r="B574">
        <v>13</v>
      </c>
      <c r="C574" t="str">
        <f t="shared" si="8"/>
        <v>0-18</v>
      </c>
      <c r="D574" t="s">
        <v>13</v>
      </c>
      <c r="E574" t="s">
        <v>16</v>
      </c>
      <c r="F574" t="s">
        <v>24</v>
      </c>
      <c r="G574" t="s">
        <v>25</v>
      </c>
      <c r="H574">
        <v>17</v>
      </c>
      <c r="I574">
        <v>180066</v>
      </c>
      <c r="J574" t="s">
        <v>28</v>
      </c>
      <c r="K574" t="s">
        <v>8</v>
      </c>
      <c r="L574" t="s">
        <v>35</v>
      </c>
      <c r="M574">
        <v>3</v>
      </c>
    </row>
    <row r="575" spans="1:13" x14ac:dyDescent="0.3">
      <c r="A575">
        <v>100574</v>
      </c>
      <c r="B575">
        <v>40</v>
      </c>
      <c r="C575" t="str">
        <f t="shared" si="8"/>
        <v>19-40</v>
      </c>
      <c r="D575" t="s">
        <v>12</v>
      </c>
      <c r="E575" t="s">
        <v>17</v>
      </c>
      <c r="F575" t="s">
        <v>21</v>
      </c>
      <c r="G575" t="s">
        <v>25</v>
      </c>
      <c r="H575">
        <v>7</v>
      </c>
      <c r="I575">
        <v>196454</v>
      </c>
      <c r="J575" t="s">
        <v>29</v>
      </c>
      <c r="K575" t="s">
        <v>31</v>
      </c>
      <c r="L575" t="s">
        <v>33</v>
      </c>
      <c r="M575">
        <v>2</v>
      </c>
    </row>
    <row r="576" spans="1:13" x14ac:dyDescent="0.3">
      <c r="A576">
        <v>100575</v>
      </c>
      <c r="B576">
        <v>42</v>
      </c>
      <c r="C576" t="str">
        <f t="shared" si="8"/>
        <v>41-60</v>
      </c>
      <c r="D576" t="s">
        <v>12</v>
      </c>
      <c r="E576" t="s">
        <v>17</v>
      </c>
      <c r="F576" t="s">
        <v>24</v>
      </c>
      <c r="G576" t="s">
        <v>27</v>
      </c>
      <c r="H576">
        <v>11</v>
      </c>
      <c r="I576">
        <v>203426</v>
      </c>
      <c r="J576" t="s">
        <v>28</v>
      </c>
      <c r="K576" t="s">
        <v>30</v>
      </c>
      <c r="L576" t="s">
        <v>34</v>
      </c>
      <c r="M576">
        <v>4</v>
      </c>
    </row>
    <row r="577" spans="1:13" x14ac:dyDescent="0.3">
      <c r="A577">
        <v>100576</v>
      </c>
      <c r="B577">
        <v>9</v>
      </c>
      <c r="C577" t="str">
        <f t="shared" si="8"/>
        <v>0-18</v>
      </c>
      <c r="D577" t="s">
        <v>13</v>
      </c>
      <c r="E577" t="s">
        <v>18</v>
      </c>
      <c r="F577" t="s">
        <v>23</v>
      </c>
      <c r="G577" t="s">
        <v>25</v>
      </c>
      <c r="H577">
        <v>18</v>
      </c>
      <c r="I577">
        <v>58344</v>
      </c>
      <c r="J577" t="s">
        <v>29</v>
      </c>
      <c r="K577" t="s">
        <v>30</v>
      </c>
      <c r="L577" t="s">
        <v>34</v>
      </c>
      <c r="M577">
        <v>5</v>
      </c>
    </row>
    <row r="578" spans="1:13" x14ac:dyDescent="0.3">
      <c r="A578">
        <v>100577</v>
      </c>
      <c r="B578">
        <v>50</v>
      </c>
      <c r="C578" t="str">
        <f t="shared" ref="C578:C641" si="9">IF(B578&lt;=18,"0-18",IF(B578&lt;=40,"19-40",IF(B578&lt;=60,"41-60","60+")))</f>
        <v>41-60</v>
      </c>
      <c r="D578" t="s">
        <v>13</v>
      </c>
      <c r="E578" t="s">
        <v>19</v>
      </c>
      <c r="F578" t="s">
        <v>20</v>
      </c>
      <c r="G578" t="s">
        <v>26</v>
      </c>
      <c r="H578">
        <v>1</v>
      </c>
      <c r="I578">
        <v>186847</v>
      </c>
      <c r="J578" t="s">
        <v>28</v>
      </c>
      <c r="K578" t="s">
        <v>8</v>
      </c>
      <c r="L578" t="s">
        <v>32</v>
      </c>
      <c r="M578">
        <v>5</v>
      </c>
    </row>
    <row r="579" spans="1:13" x14ac:dyDescent="0.3">
      <c r="A579">
        <v>100578</v>
      </c>
      <c r="B579">
        <v>27</v>
      </c>
      <c r="C579" t="str">
        <f t="shared" si="9"/>
        <v>19-40</v>
      </c>
      <c r="D579" t="s">
        <v>12</v>
      </c>
      <c r="E579" t="s">
        <v>18</v>
      </c>
      <c r="F579" t="s">
        <v>23</v>
      </c>
      <c r="G579" t="s">
        <v>26</v>
      </c>
      <c r="H579">
        <v>3</v>
      </c>
      <c r="I579">
        <v>140421</v>
      </c>
      <c r="J579" t="s">
        <v>28</v>
      </c>
      <c r="K579" t="s">
        <v>30</v>
      </c>
      <c r="L579" t="s">
        <v>33</v>
      </c>
      <c r="M579">
        <v>4</v>
      </c>
    </row>
    <row r="580" spans="1:13" x14ac:dyDescent="0.3">
      <c r="A580">
        <v>100579</v>
      </c>
      <c r="B580">
        <v>66</v>
      </c>
      <c r="C580" t="str">
        <f t="shared" si="9"/>
        <v>60+</v>
      </c>
      <c r="D580" t="s">
        <v>13</v>
      </c>
      <c r="E580" t="s">
        <v>17</v>
      </c>
      <c r="F580" t="s">
        <v>24</v>
      </c>
      <c r="G580" t="s">
        <v>27</v>
      </c>
      <c r="H580">
        <v>4</v>
      </c>
      <c r="I580">
        <v>73154</v>
      </c>
      <c r="J580" t="s">
        <v>29</v>
      </c>
      <c r="K580" t="s">
        <v>31</v>
      </c>
      <c r="L580" t="s">
        <v>34</v>
      </c>
      <c r="M580">
        <v>2</v>
      </c>
    </row>
    <row r="581" spans="1:13" x14ac:dyDescent="0.3">
      <c r="A581">
        <v>100580</v>
      </c>
      <c r="B581">
        <v>5</v>
      </c>
      <c r="C581" t="str">
        <f t="shared" si="9"/>
        <v>0-18</v>
      </c>
      <c r="D581" t="s">
        <v>12</v>
      </c>
      <c r="E581" t="s">
        <v>14</v>
      </c>
      <c r="F581" t="s">
        <v>20</v>
      </c>
      <c r="G581" t="s">
        <v>25</v>
      </c>
      <c r="H581">
        <v>13</v>
      </c>
      <c r="I581">
        <v>29464</v>
      </c>
      <c r="J581" t="s">
        <v>29</v>
      </c>
      <c r="K581" t="s">
        <v>31</v>
      </c>
      <c r="L581" t="s">
        <v>32</v>
      </c>
      <c r="M581">
        <v>1</v>
      </c>
    </row>
    <row r="582" spans="1:13" x14ac:dyDescent="0.3">
      <c r="A582">
        <v>100581</v>
      </c>
      <c r="B582">
        <v>29</v>
      </c>
      <c r="C582" t="str">
        <f t="shared" si="9"/>
        <v>19-40</v>
      </c>
      <c r="D582" t="s">
        <v>13</v>
      </c>
      <c r="E582" t="s">
        <v>16</v>
      </c>
      <c r="F582" t="s">
        <v>22</v>
      </c>
      <c r="G582" t="s">
        <v>25</v>
      </c>
      <c r="H582">
        <v>6</v>
      </c>
      <c r="I582">
        <v>175696</v>
      </c>
      <c r="J582" t="s">
        <v>28</v>
      </c>
      <c r="K582" t="s">
        <v>31</v>
      </c>
      <c r="L582" t="s">
        <v>34</v>
      </c>
      <c r="M582">
        <v>3</v>
      </c>
    </row>
    <row r="583" spans="1:13" x14ac:dyDescent="0.3">
      <c r="A583">
        <v>100582</v>
      </c>
      <c r="B583">
        <v>37</v>
      </c>
      <c r="C583" t="str">
        <f t="shared" si="9"/>
        <v>19-40</v>
      </c>
      <c r="D583" t="s">
        <v>13</v>
      </c>
      <c r="E583" t="s">
        <v>18</v>
      </c>
      <c r="F583" t="s">
        <v>22</v>
      </c>
      <c r="G583" t="s">
        <v>26</v>
      </c>
      <c r="H583">
        <v>14</v>
      </c>
      <c r="I583">
        <v>123897</v>
      </c>
      <c r="J583" t="s">
        <v>28</v>
      </c>
      <c r="K583" t="s">
        <v>8</v>
      </c>
      <c r="L583" t="s">
        <v>33</v>
      </c>
      <c r="M583">
        <v>5</v>
      </c>
    </row>
    <row r="584" spans="1:13" x14ac:dyDescent="0.3">
      <c r="A584">
        <v>100583</v>
      </c>
      <c r="B584">
        <v>38</v>
      </c>
      <c r="C584" t="str">
        <f t="shared" si="9"/>
        <v>19-40</v>
      </c>
      <c r="D584" t="s">
        <v>12</v>
      </c>
      <c r="E584" t="s">
        <v>17</v>
      </c>
      <c r="F584" t="s">
        <v>21</v>
      </c>
      <c r="G584" t="s">
        <v>27</v>
      </c>
      <c r="H584">
        <v>5</v>
      </c>
      <c r="I584">
        <v>39344</v>
      </c>
      <c r="J584" t="s">
        <v>29</v>
      </c>
      <c r="K584" t="s">
        <v>30</v>
      </c>
      <c r="L584" t="s">
        <v>35</v>
      </c>
      <c r="M584">
        <v>3</v>
      </c>
    </row>
    <row r="585" spans="1:13" x14ac:dyDescent="0.3">
      <c r="A585">
        <v>100584</v>
      </c>
      <c r="B585">
        <v>83</v>
      </c>
      <c r="C585" t="str">
        <f t="shared" si="9"/>
        <v>60+</v>
      </c>
      <c r="D585" t="s">
        <v>13</v>
      </c>
      <c r="E585" t="s">
        <v>19</v>
      </c>
      <c r="F585" t="s">
        <v>24</v>
      </c>
      <c r="G585" t="s">
        <v>25</v>
      </c>
      <c r="H585">
        <v>16</v>
      </c>
      <c r="I585">
        <v>85791</v>
      </c>
      <c r="J585" t="s">
        <v>28</v>
      </c>
      <c r="K585" t="s">
        <v>30</v>
      </c>
      <c r="L585" t="s">
        <v>33</v>
      </c>
      <c r="M585">
        <v>1</v>
      </c>
    </row>
    <row r="586" spans="1:13" x14ac:dyDescent="0.3">
      <c r="A586">
        <v>100585</v>
      </c>
      <c r="B586">
        <v>8</v>
      </c>
      <c r="C586" t="str">
        <f t="shared" si="9"/>
        <v>0-18</v>
      </c>
      <c r="D586" t="s">
        <v>12</v>
      </c>
      <c r="E586" t="s">
        <v>17</v>
      </c>
      <c r="F586" t="s">
        <v>24</v>
      </c>
      <c r="G586" t="s">
        <v>27</v>
      </c>
      <c r="H586">
        <v>15</v>
      </c>
      <c r="I586">
        <v>157371</v>
      </c>
      <c r="J586" t="s">
        <v>28</v>
      </c>
      <c r="K586" t="s">
        <v>30</v>
      </c>
      <c r="L586" t="s">
        <v>33</v>
      </c>
      <c r="M586">
        <v>5</v>
      </c>
    </row>
    <row r="587" spans="1:13" x14ac:dyDescent="0.3">
      <c r="A587">
        <v>100586</v>
      </c>
      <c r="B587">
        <v>65</v>
      </c>
      <c r="C587" t="str">
        <f t="shared" si="9"/>
        <v>60+</v>
      </c>
      <c r="D587" t="s">
        <v>13</v>
      </c>
      <c r="E587" t="s">
        <v>19</v>
      </c>
      <c r="F587" t="s">
        <v>22</v>
      </c>
      <c r="G587" t="s">
        <v>25</v>
      </c>
      <c r="H587">
        <v>15</v>
      </c>
      <c r="I587">
        <v>181047</v>
      </c>
      <c r="J587" t="s">
        <v>28</v>
      </c>
      <c r="K587" t="s">
        <v>31</v>
      </c>
      <c r="L587" t="s">
        <v>34</v>
      </c>
      <c r="M587">
        <v>3</v>
      </c>
    </row>
    <row r="588" spans="1:13" x14ac:dyDescent="0.3">
      <c r="A588">
        <v>100587</v>
      </c>
      <c r="B588">
        <v>86</v>
      </c>
      <c r="C588" t="str">
        <f t="shared" si="9"/>
        <v>60+</v>
      </c>
      <c r="D588" t="s">
        <v>12</v>
      </c>
      <c r="E588" t="s">
        <v>18</v>
      </c>
      <c r="F588" t="s">
        <v>23</v>
      </c>
      <c r="G588" t="s">
        <v>26</v>
      </c>
      <c r="H588">
        <v>4</v>
      </c>
      <c r="I588">
        <v>134534</v>
      </c>
      <c r="J588" t="s">
        <v>28</v>
      </c>
      <c r="K588" t="s">
        <v>30</v>
      </c>
      <c r="L588" t="s">
        <v>34</v>
      </c>
      <c r="M588">
        <v>1</v>
      </c>
    </row>
    <row r="589" spans="1:13" x14ac:dyDescent="0.3">
      <c r="A589">
        <v>100588</v>
      </c>
      <c r="B589">
        <v>17</v>
      </c>
      <c r="C589" t="str">
        <f t="shared" si="9"/>
        <v>0-18</v>
      </c>
      <c r="D589" t="s">
        <v>12</v>
      </c>
      <c r="E589" t="s">
        <v>19</v>
      </c>
      <c r="F589" t="s">
        <v>20</v>
      </c>
      <c r="G589" t="s">
        <v>26</v>
      </c>
      <c r="H589">
        <v>8</v>
      </c>
      <c r="I589">
        <v>122209</v>
      </c>
      <c r="J589" t="s">
        <v>29</v>
      </c>
      <c r="K589" t="s">
        <v>31</v>
      </c>
      <c r="L589" t="s">
        <v>33</v>
      </c>
      <c r="M589">
        <v>3</v>
      </c>
    </row>
    <row r="590" spans="1:13" x14ac:dyDescent="0.3">
      <c r="A590">
        <v>100589</v>
      </c>
      <c r="B590">
        <v>71</v>
      </c>
      <c r="C590" t="str">
        <f t="shared" si="9"/>
        <v>60+</v>
      </c>
      <c r="D590" t="s">
        <v>13</v>
      </c>
      <c r="E590" t="s">
        <v>15</v>
      </c>
      <c r="F590" t="s">
        <v>23</v>
      </c>
      <c r="G590" t="s">
        <v>27</v>
      </c>
      <c r="H590">
        <v>16</v>
      </c>
      <c r="I590">
        <v>83441</v>
      </c>
      <c r="J590" t="s">
        <v>29</v>
      </c>
      <c r="K590" t="s">
        <v>30</v>
      </c>
      <c r="L590" t="s">
        <v>32</v>
      </c>
      <c r="M590">
        <v>2</v>
      </c>
    </row>
    <row r="591" spans="1:13" x14ac:dyDescent="0.3">
      <c r="A591">
        <v>100590</v>
      </c>
      <c r="B591">
        <v>89</v>
      </c>
      <c r="C591" t="str">
        <f t="shared" si="9"/>
        <v>60+</v>
      </c>
      <c r="D591" t="s">
        <v>12</v>
      </c>
      <c r="E591" t="s">
        <v>15</v>
      </c>
      <c r="F591" t="s">
        <v>23</v>
      </c>
      <c r="G591" t="s">
        <v>26</v>
      </c>
      <c r="H591">
        <v>16</v>
      </c>
      <c r="I591">
        <v>92456</v>
      </c>
      <c r="J591" t="s">
        <v>29</v>
      </c>
      <c r="K591" t="s">
        <v>31</v>
      </c>
      <c r="L591" t="s">
        <v>32</v>
      </c>
      <c r="M591">
        <v>1</v>
      </c>
    </row>
    <row r="592" spans="1:13" x14ac:dyDescent="0.3">
      <c r="A592">
        <v>100591</v>
      </c>
      <c r="B592">
        <v>45</v>
      </c>
      <c r="C592" t="str">
        <f t="shared" si="9"/>
        <v>41-60</v>
      </c>
      <c r="D592" t="s">
        <v>13</v>
      </c>
      <c r="E592" t="s">
        <v>15</v>
      </c>
      <c r="F592" t="s">
        <v>22</v>
      </c>
      <c r="G592" t="s">
        <v>25</v>
      </c>
      <c r="H592">
        <v>4</v>
      </c>
      <c r="I592">
        <v>83788</v>
      </c>
      <c r="J592" t="s">
        <v>29</v>
      </c>
      <c r="K592" t="s">
        <v>30</v>
      </c>
      <c r="L592" t="s">
        <v>32</v>
      </c>
      <c r="M592">
        <v>3</v>
      </c>
    </row>
    <row r="593" spans="1:13" x14ac:dyDescent="0.3">
      <c r="A593">
        <v>100592</v>
      </c>
      <c r="B593">
        <v>4</v>
      </c>
      <c r="C593" t="str">
        <f t="shared" si="9"/>
        <v>0-18</v>
      </c>
      <c r="D593" t="s">
        <v>13</v>
      </c>
      <c r="E593" t="s">
        <v>14</v>
      </c>
      <c r="F593" t="s">
        <v>22</v>
      </c>
      <c r="G593" t="s">
        <v>26</v>
      </c>
      <c r="H593">
        <v>13</v>
      </c>
      <c r="I593">
        <v>239612</v>
      </c>
      <c r="J593" t="s">
        <v>29</v>
      </c>
      <c r="K593" t="s">
        <v>8</v>
      </c>
      <c r="L593" t="s">
        <v>34</v>
      </c>
      <c r="M593">
        <v>2</v>
      </c>
    </row>
    <row r="594" spans="1:13" x14ac:dyDescent="0.3">
      <c r="A594">
        <v>100593</v>
      </c>
      <c r="B594">
        <v>36</v>
      </c>
      <c r="C594" t="str">
        <f t="shared" si="9"/>
        <v>19-40</v>
      </c>
      <c r="D594" t="s">
        <v>13</v>
      </c>
      <c r="E594" t="s">
        <v>18</v>
      </c>
      <c r="F594" t="s">
        <v>22</v>
      </c>
      <c r="G594" t="s">
        <v>27</v>
      </c>
      <c r="H594">
        <v>13</v>
      </c>
      <c r="I594">
        <v>173653</v>
      </c>
      <c r="J594" t="s">
        <v>29</v>
      </c>
      <c r="K594" t="s">
        <v>8</v>
      </c>
      <c r="L594" t="s">
        <v>34</v>
      </c>
      <c r="M594">
        <v>2</v>
      </c>
    </row>
    <row r="595" spans="1:13" x14ac:dyDescent="0.3">
      <c r="A595">
        <v>100594</v>
      </c>
      <c r="B595">
        <v>70</v>
      </c>
      <c r="C595" t="str">
        <f t="shared" si="9"/>
        <v>60+</v>
      </c>
      <c r="D595" t="s">
        <v>12</v>
      </c>
      <c r="E595" t="s">
        <v>17</v>
      </c>
      <c r="F595" t="s">
        <v>21</v>
      </c>
      <c r="G595" t="s">
        <v>27</v>
      </c>
      <c r="H595">
        <v>2</v>
      </c>
      <c r="I595">
        <v>233444</v>
      </c>
      <c r="J595" t="s">
        <v>28</v>
      </c>
      <c r="K595" t="s">
        <v>31</v>
      </c>
      <c r="L595" t="s">
        <v>33</v>
      </c>
      <c r="M595">
        <v>1</v>
      </c>
    </row>
    <row r="596" spans="1:13" x14ac:dyDescent="0.3">
      <c r="A596">
        <v>100595</v>
      </c>
      <c r="B596">
        <v>31</v>
      </c>
      <c r="C596" t="str">
        <f t="shared" si="9"/>
        <v>19-40</v>
      </c>
      <c r="D596" t="s">
        <v>12</v>
      </c>
      <c r="E596" t="s">
        <v>17</v>
      </c>
      <c r="F596" t="s">
        <v>23</v>
      </c>
      <c r="G596" t="s">
        <v>27</v>
      </c>
      <c r="H596">
        <v>3</v>
      </c>
      <c r="I596">
        <v>204361</v>
      </c>
      <c r="J596" t="s">
        <v>29</v>
      </c>
      <c r="K596" t="s">
        <v>31</v>
      </c>
      <c r="L596" t="s">
        <v>35</v>
      </c>
      <c r="M596">
        <v>4</v>
      </c>
    </row>
    <row r="597" spans="1:13" x14ac:dyDescent="0.3">
      <c r="A597">
        <v>100596</v>
      </c>
      <c r="B597">
        <v>19</v>
      </c>
      <c r="C597" t="str">
        <f t="shared" si="9"/>
        <v>19-40</v>
      </c>
      <c r="D597" t="s">
        <v>13</v>
      </c>
      <c r="E597" t="s">
        <v>14</v>
      </c>
      <c r="F597" t="s">
        <v>24</v>
      </c>
      <c r="G597" t="s">
        <v>25</v>
      </c>
      <c r="H597">
        <v>8</v>
      </c>
      <c r="I597">
        <v>238613</v>
      </c>
      <c r="J597" t="s">
        <v>28</v>
      </c>
      <c r="K597" t="s">
        <v>30</v>
      </c>
      <c r="L597" t="s">
        <v>34</v>
      </c>
      <c r="M597">
        <v>5</v>
      </c>
    </row>
    <row r="598" spans="1:13" x14ac:dyDescent="0.3">
      <c r="A598">
        <v>100597</v>
      </c>
      <c r="B598">
        <v>61</v>
      </c>
      <c r="C598" t="str">
        <f t="shared" si="9"/>
        <v>60+</v>
      </c>
      <c r="D598" t="s">
        <v>13</v>
      </c>
      <c r="E598" t="s">
        <v>19</v>
      </c>
      <c r="F598" t="s">
        <v>20</v>
      </c>
      <c r="G598" t="s">
        <v>25</v>
      </c>
      <c r="H598">
        <v>15</v>
      </c>
      <c r="I598">
        <v>16175</v>
      </c>
      <c r="J598" t="s">
        <v>28</v>
      </c>
      <c r="K598" t="s">
        <v>30</v>
      </c>
      <c r="L598" t="s">
        <v>33</v>
      </c>
      <c r="M598">
        <v>1</v>
      </c>
    </row>
    <row r="599" spans="1:13" x14ac:dyDescent="0.3">
      <c r="A599">
        <v>100598</v>
      </c>
      <c r="B599">
        <v>54</v>
      </c>
      <c r="C599" t="str">
        <f t="shared" si="9"/>
        <v>41-60</v>
      </c>
      <c r="D599" t="s">
        <v>12</v>
      </c>
      <c r="E599" t="s">
        <v>14</v>
      </c>
      <c r="F599" t="s">
        <v>21</v>
      </c>
      <c r="G599" t="s">
        <v>25</v>
      </c>
      <c r="H599">
        <v>11</v>
      </c>
      <c r="I599">
        <v>139263</v>
      </c>
      <c r="J599" t="s">
        <v>28</v>
      </c>
      <c r="K599" t="s">
        <v>8</v>
      </c>
      <c r="L599" t="s">
        <v>33</v>
      </c>
      <c r="M599">
        <v>2</v>
      </c>
    </row>
    <row r="600" spans="1:13" x14ac:dyDescent="0.3">
      <c r="A600">
        <v>100599</v>
      </c>
      <c r="B600">
        <v>39</v>
      </c>
      <c r="C600" t="str">
        <f t="shared" si="9"/>
        <v>19-40</v>
      </c>
      <c r="D600" t="s">
        <v>13</v>
      </c>
      <c r="E600" t="s">
        <v>19</v>
      </c>
      <c r="F600" t="s">
        <v>24</v>
      </c>
      <c r="G600" t="s">
        <v>25</v>
      </c>
      <c r="H600">
        <v>9</v>
      </c>
      <c r="I600">
        <v>85434</v>
      </c>
      <c r="J600" t="s">
        <v>29</v>
      </c>
      <c r="K600" t="s">
        <v>30</v>
      </c>
      <c r="L600" t="s">
        <v>35</v>
      </c>
      <c r="M600">
        <v>2</v>
      </c>
    </row>
    <row r="601" spans="1:13" x14ac:dyDescent="0.3">
      <c r="A601">
        <v>100600</v>
      </c>
      <c r="B601">
        <v>74</v>
      </c>
      <c r="C601" t="str">
        <f t="shared" si="9"/>
        <v>60+</v>
      </c>
      <c r="D601" t="s">
        <v>13</v>
      </c>
      <c r="E601" t="s">
        <v>19</v>
      </c>
      <c r="F601" t="s">
        <v>23</v>
      </c>
      <c r="G601" t="s">
        <v>25</v>
      </c>
      <c r="H601">
        <v>7</v>
      </c>
      <c r="I601">
        <v>86518</v>
      </c>
      <c r="J601" t="s">
        <v>28</v>
      </c>
      <c r="K601" t="s">
        <v>31</v>
      </c>
      <c r="L601" t="s">
        <v>32</v>
      </c>
      <c r="M601">
        <v>1</v>
      </c>
    </row>
    <row r="602" spans="1:13" x14ac:dyDescent="0.3">
      <c r="A602">
        <v>100601</v>
      </c>
      <c r="B602">
        <v>19</v>
      </c>
      <c r="C602" t="str">
        <f t="shared" si="9"/>
        <v>19-40</v>
      </c>
      <c r="D602" t="s">
        <v>12</v>
      </c>
      <c r="E602" t="s">
        <v>16</v>
      </c>
      <c r="F602" t="s">
        <v>22</v>
      </c>
      <c r="G602" t="s">
        <v>26</v>
      </c>
      <c r="H602">
        <v>13</v>
      </c>
      <c r="I602">
        <v>213230</v>
      </c>
      <c r="J602" t="s">
        <v>29</v>
      </c>
      <c r="K602" t="s">
        <v>31</v>
      </c>
      <c r="L602" t="s">
        <v>33</v>
      </c>
      <c r="M602">
        <v>4</v>
      </c>
    </row>
    <row r="603" spans="1:13" x14ac:dyDescent="0.3">
      <c r="A603">
        <v>100602</v>
      </c>
      <c r="B603">
        <v>39</v>
      </c>
      <c r="C603" t="str">
        <f t="shared" si="9"/>
        <v>19-40</v>
      </c>
      <c r="D603" t="s">
        <v>13</v>
      </c>
      <c r="E603" t="s">
        <v>17</v>
      </c>
      <c r="F603" t="s">
        <v>23</v>
      </c>
      <c r="G603" t="s">
        <v>25</v>
      </c>
      <c r="H603">
        <v>2</v>
      </c>
      <c r="I603">
        <v>68537</v>
      </c>
      <c r="J603" t="s">
        <v>28</v>
      </c>
      <c r="K603" t="s">
        <v>31</v>
      </c>
      <c r="L603" t="s">
        <v>33</v>
      </c>
      <c r="M603">
        <v>5</v>
      </c>
    </row>
    <row r="604" spans="1:13" x14ac:dyDescent="0.3">
      <c r="A604">
        <v>100603</v>
      </c>
      <c r="B604">
        <v>67</v>
      </c>
      <c r="C604" t="str">
        <f t="shared" si="9"/>
        <v>60+</v>
      </c>
      <c r="D604" t="s">
        <v>12</v>
      </c>
      <c r="E604" t="s">
        <v>15</v>
      </c>
      <c r="F604" t="s">
        <v>20</v>
      </c>
      <c r="G604" t="s">
        <v>25</v>
      </c>
      <c r="H604">
        <v>8</v>
      </c>
      <c r="I604">
        <v>117721</v>
      </c>
      <c r="J604" t="s">
        <v>28</v>
      </c>
      <c r="K604" t="s">
        <v>31</v>
      </c>
      <c r="L604" t="s">
        <v>33</v>
      </c>
      <c r="M604">
        <v>3</v>
      </c>
    </row>
    <row r="605" spans="1:13" x14ac:dyDescent="0.3">
      <c r="A605">
        <v>100604</v>
      </c>
      <c r="B605">
        <v>45</v>
      </c>
      <c r="C605" t="str">
        <f t="shared" si="9"/>
        <v>41-60</v>
      </c>
      <c r="D605" t="s">
        <v>13</v>
      </c>
      <c r="E605" t="s">
        <v>19</v>
      </c>
      <c r="F605" t="s">
        <v>21</v>
      </c>
      <c r="G605" t="s">
        <v>26</v>
      </c>
      <c r="H605">
        <v>7</v>
      </c>
      <c r="I605">
        <v>49645</v>
      </c>
      <c r="J605" t="s">
        <v>29</v>
      </c>
      <c r="K605" t="s">
        <v>31</v>
      </c>
      <c r="L605" t="s">
        <v>32</v>
      </c>
      <c r="M605">
        <v>1</v>
      </c>
    </row>
    <row r="606" spans="1:13" x14ac:dyDescent="0.3">
      <c r="A606">
        <v>100605</v>
      </c>
      <c r="B606">
        <v>13</v>
      </c>
      <c r="C606" t="str">
        <f t="shared" si="9"/>
        <v>0-18</v>
      </c>
      <c r="D606" t="s">
        <v>12</v>
      </c>
      <c r="E606" t="s">
        <v>16</v>
      </c>
      <c r="F606" t="s">
        <v>21</v>
      </c>
      <c r="G606" t="s">
        <v>25</v>
      </c>
      <c r="H606">
        <v>12</v>
      </c>
      <c r="I606">
        <v>241608</v>
      </c>
      <c r="J606" t="s">
        <v>28</v>
      </c>
      <c r="K606" t="s">
        <v>8</v>
      </c>
      <c r="L606" t="s">
        <v>32</v>
      </c>
      <c r="M606">
        <v>5</v>
      </c>
    </row>
    <row r="607" spans="1:13" x14ac:dyDescent="0.3">
      <c r="A607">
        <v>100606</v>
      </c>
      <c r="B607">
        <v>58</v>
      </c>
      <c r="C607" t="str">
        <f t="shared" si="9"/>
        <v>41-60</v>
      </c>
      <c r="D607" t="s">
        <v>13</v>
      </c>
      <c r="E607" t="s">
        <v>17</v>
      </c>
      <c r="F607" t="s">
        <v>20</v>
      </c>
      <c r="G607" t="s">
        <v>27</v>
      </c>
      <c r="H607">
        <v>19</v>
      </c>
      <c r="I607">
        <v>25283</v>
      </c>
      <c r="J607" t="s">
        <v>28</v>
      </c>
      <c r="K607" t="s">
        <v>8</v>
      </c>
      <c r="L607" t="s">
        <v>35</v>
      </c>
      <c r="M607">
        <v>5</v>
      </c>
    </row>
    <row r="608" spans="1:13" x14ac:dyDescent="0.3">
      <c r="A608">
        <v>100607</v>
      </c>
      <c r="B608">
        <v>20</v>
      </c>
      <c r="C608" t="str">
        <f t="shared" si="9"/>
        <v>19-40</v>
      </c>
      <c r="D608" t="s">
        <v>13</v>
      </c>
      <c r="E608" t="s">
        <v>15</v>
      </c>
      <c r="F608" t="s">
        <v>24</v>
      </c>
      <c r="G608" t="s">
        <v>25</v>
      </c>
      <c r="H608">
        <v>7</v>
      </c>
      <c r="I608">
        <v>88971</v>
      </c>
      <c r="J608" t="s">
        <v>28</v>
      </c>
      <c r="K608" t="s">
        <v>31</v>
      </c>
      <c r="L608" t="s">
        <v>34</v>
      </c>
      <c r="M608">
        <v>2</v>
      </c>
    </row>
    <row r="609" spans="1:13" x14ac:dyDescent="0.3">
      <c r="A609">
        <v>100608</v>
      </c>
      <c r="B609">
        <v>72</v>
      </c>
      <c r="C609" t="str">
        <f t="shared" si="9"/>
        <v>60+</v>
      </c>
      <c r="D609" t="s">
        <v>12</v>
      </c>
      <c r="E609" t="s">
        <v>19</v>
      </c>
      <c r="F609" t="s">
        <v>24</v>
      </c>
      <c r="G609" t="s">
        <v>25</v>
      </c>
      <c r="H609">
        <v>10</v>
      </c>
      <c r="I609">
        <v>94759</v>
      </c>
      <c r="J609" t="s">
        <v>28</v>
      </c>
      <c r="K609" t="s">
        <v>30</v>
      </c>
      <c r="L609" t="s">
        <v>32</v>
      </c>
      <c r="M609">
        <v>3</v>
      </c>
    </row>
    <row r="610" spans="1:13" x14ac:dyDescent="0.3">
      <c r="A610">
        <v>100609</v>
      </c>
      <c r="B610">
        <v>61</v>
      </c>
      <c r="C610" t="str">
        <f t="shared" si="9"/>
        <v>60+</v>
      </c>
      <c r="D610" t="s">
        <v>13</v>
      </c>
      <c r="E610" t="s">
        <v>19</v>
      </c>
      <c r="F610" t="s">
        <v>21</v>
      </c>
      <c r="G610" t="s">
        <v>27</v>
      </c>
      <c r="H610">
        <v>16</v>
      </c>
      <c r="I610">
        <v>192195</v>
      </c>
      <c r="J610" t="s">
        <v>29</v>
      </c>
      <c r="K610" t="s">
        <v>31</v>
      </c>
      <c r="L610" t="s">
        <v>34</v>
      </c>
      <c r="M610">
        <v>1</v>
      </c>
    </row>
    <row r="611" spans="1:13" x14ac:dyDescent="0.3">
      <c r="A611">
        <v>100610</v>
      </c>
      <c r="B611">
        <v>39</v>
      </c>
      <c r="C611" t="str">
        <f t="shared" si="9"/>
        <v>19-40</v>
      </c>
      <c r="D611" t="s">
        <v>12</v>
      </c>
      <c r="E611" t="s">
        <v>14</v>
      </c>
      <c r="F611" t="s">
        <v>21</v>
      </c>
      <c r="G611" t="s">
        <v>27</v>
      </c>
      <c r="H611">
        <v>3</v>
      </c>
      <c r="I611">
        <v>104780</v>
      </c>
      <c r="J611" t="s">
        <v>28</v>
      </c>
      <c r="K611" t="s">
        <v>8</v>
      </c>
      <c r="L611" t="s">
        <v>34</v>
      </c>
      <c r="M611">
        <v>2</v>
      </c>
    </row>
    <row r="612" spans="1:13" x14ac:dyDescent="0.3">
      <c r="A612">
        <v>100611</v>
      </c>
      <c r="B612">
        <v>1</v>
      </c>
      <c r="C612" t="str">
        <f t="shared" si="9"/>
        <v>0-18</v>
      </c>
      <c r="D612" t="s">
        <v>13</v>
      </c>
      <c r="E612" t="s">
        <v>14</v>
      </c>
      <c r="F612" t="s">
        <v>22</v>
      </c>
      <c r="G612" t="s">
        <v>27</v>
      </c>
      <c r="H612">
        <v>10</v>
      </c>
      <c r="I612">
        <v>163096</v>
      </c>
      <c r="J612" t="s">
        <v>28</v>
      </c>
      <c r="K612" t="s">
        <v>31</v>
      </c>
      <c r="L612" t="s">
        <v>32</v>
      </c>
      <c r="M612">
        <v>2</v>
      </c>
    </row>
    <row r="613" spans="1:13" x14ac:dyDescent="0.3">
      <c r="A613">
        <v>100612</v>
      </c>
      <c r="B613">
        <v>3</v>
      </c>
      <c r="C613" t="str">
        <f t="shared" si="9"/>
        <v>0-18</v>
      </c>
      <c r="D613" t="s">
        <v>12</v>
      </c>
      <c r="E613" t="s">
        <v>17</v>
      </c>
      <c r="F613" t="s">
        <v>24</v>
      </c>
      <c r="G613" t="s">
        <v>27</v>
      </c>
      <c r="H613">
        <v>6</v>
      </c>
      <c r="I613">
        <v>182702</v>
      </c>
      <c r="J613" t="s">
        <v>29</v>
      </c>
      <c r="K613" t="s">
        <v>8</v>
      </c>
      <c r="L613" t="s">
        <v>33</v>
      </c>
      <c r="M613">
        <v>4</v>
      </c>
    </row>
    <row r="614" spans="1:13" x14ac:dyDescent="0.3">
      <c r="A614">
        <v>100613</v>
      </c>
      <c r="B614">
        <v>77</v>
      </c>
      <c r="C614" t="str">
        <f t="shared" si="9"/>
        <v>60+</v>
      </c>
      <c r="D614" t="s">
        <v>12</v>
      </c>
      <c r="E614" t="s">
        <v>15</v>
      </c>
      <c r="F614" t="s">
        <v>20</v>
      </c>
      <c r="G614" t="s">
        <v>25</v>
      </c>
      <c r="H614">
        <v>18</v>
      </c>
      <c r="I614">
        <v>32734</v>
      </c>
      <c r="J614" t="s">
        <v>28</v>
      </c>
      <c r="K614" t="s">
        <v>8</v>
      </c>
      <c r="L614" t="s">
        <v>35</v>
      </c>
      <c r="M614">
        <v>5</v>
      </c>
    </row>
    <row r="615" spans="1:13" x14ac:dyDescent="0.3">
      <c r="A615">
        <v>100614</v>
      </c>
      <c r="B615">
        <v>62</v>
      </c>
      <c r="C615" t="str">
        <f t="shared" si="9"/>
        <v>60+</v>
      </c>
      <c r="D615" t="s">
        <v>12</v>
      </c>
      <c r="E615" t="s">
        <v>19</v>
      </c>
      <c r="F615" t="s">
        <v>24</v>
      </c>
      <c r="G615" t="s">
        <v>27</v>
      </c>
      <c r="H615">
        <v>18</v>
      </c>
      <c r="I615">
        <v>2515</v>
      </c>
      <c r="J615" t="s">
        <v>28</v>
      </c>
      <c r="K615" t="s">
        <v>31</v>
      </c>
      <c r="L615" t="s">
        <v>34</v>
      </c>
      <c r="M615">
        <v>1</v>
      </c>
    </row>
    <row r="616" spans="1:13" x14ac:dyDescent="0.3">
      <c r="A616">
        <v>100615</v>
      </c>
      <c r="B616">
        <v>63</v>
      </c>
      <c r="C616" t="str">
        <f t="shared" si="9"/>
        <v>60+</v>
      </c>
      <c r="D616" t="s">
        <v>12</v>
      </c>
      <c r="E616" t="s">
        <v>17</v>
      </c>
      <c r="F616" t="s">
        <v>22</v>
      </c>
      <c r="G616" t="s">
        <v>27</v>
      </c>
      <c r="H616">
        <v>5</v>
      </c>
      <c r="I616">
        <v>112782</v>
      </c>
      <c r="J616" t="s">
        <v>28</v>
      </c>
      <c r="K616" t="s">
        <v>31</v>
      </c>
      <c r="L616" t="s">
        <v>33</v>
      </c>
      <c r="M616">
        <v>1</v>
      </c>
    </row>
    <row r="617" spans="1:13" x14ac:dyDescent="0.3">
      <c r="A617">
        <v>100616</v>
      </c>
      <c r="B617">
        <v>25</v>
      </c>
      <c r="C617" t="str">
        <f t="shared" si="9"/>
        <v>19-40</v>
      </c>
      <c r="D617" t="s">
        <v>13</v>
      </c>
      <c r="E617" t="s">
        <v>17</v>
      </c>
      <c r="F617" t="s">
        <v>21</v>
      </c>
      <c r="G617" t="s">
        <v>26</v>
      </c>
      <c r="H617">
        <v>7</v>
      </c>
      <c r="I617">
        <v>68727</v>
      </c>
      <c r="J617" t="s">
        <v>28</v>
      </c>
      <c r="K617" t="s">
        <v>30</v>
      </c>
      <c r="L617" t="s">
        <v>32</v>
      </c>
      <c r="M617">
        <v>1</v>
      </c>
    </row>
    <row r="618" spans="1:13" x14ac:dyDescent="0.3">
      <c r="A618">
        <v>100617</v>
      </c>
      <c r="B618">
        <v>56</v>
      </c>
      <c r="C618" t="str">
        <f t="shared" si="9"/>
        <v>41-60</v>
      </c>
      <c r="D618" t="s">
        <v>13</v>
      </c>
      <c r="E618" t="s">
        <v>18</v>
      </c>
      <c r="F618" t="s">
        <v>21</v>
      </c>
      <c r="G618" t="s">
        <v>27</v>
      </c>
      <c r="H618">
        <v>2</v>
      </c>
      <c r="I618">
        <v>230872</v>
      </c>
      <c r="J618" t="s">
        <v>29</v>
      </c>
      <c r="K618" t="s">
        <v>8</v>
      </c>
      <c r="L618" t="s">
        <v>34</v>
      </c>
      <c r="M618">
        <v>2</v>
      </c>
    </row>
    <row r="619" spans="1:13" x14ac:dyDescent="0.3">
      <c r="A619">
        <v>100618</v>
      </c>
      <c r="B619">
        <v>33</v>
      </c>
      <c r="C619" t="str">
        <f t="shared" si="9"/>
        <v>19-40</v>
      </c>
      <c r="D619" t="s">
        <v>12</v>
      </c>
      <c r="E619" t="s">
        <v>14</v>
      </c>
      <c r="F619" t="s">
        <v>22</v>
      </c>
      <c r="G619" t="s">
        <v>27</v>
      </c>
      <c r="H619">
        <v>11</v>
      </c>
      <c r="I619">
        <v>111164</v>
      </c>
      <c r="J619" t="s">
        <v>28</v>
      </c>
      <c r="K619" t="s">
        <v>30</v>
      </c>
      <c r="L619" t="s">
        <v>34</v>
      </c>
      <c r="M619">
        <v>4</v>
      </c>
    </row>
    <row r="620" spans="1:13" x14ac:dyDescent="0.3">
      <c r="A620">
        <v>100619</v>
      </c>
      <c r="B620">
        <v>38</v>
      </c>
      <c r="C620" t="str">
        <f t="shared" si="9"/>
        <v>19-40</v>
      </c>
      <c r="D620" t="s">
        <v>12</v>
      </c>
      <c r="E620" t="s">
        <v>15</v>
      </c>
      <c r="F620" t="s">
        <v>20</v>
      </c>
      <c r="G620" t="s">
        <v>26</v>
      </c>
      <c r="H620">
        <v>13</v>
      </c>
      <c r="I620">
        <v>48216</v>
      </c>
      <c r="J620" t="s">
        <v>29</v>
      </c>
      <c r="K620" t="s">
        <v>31</v>
      </c>
      <c r="L620" t="s">
        <v>34</v>
      </c>
      <c r="M620">
        <v>3</v>
      </c>
    </row>
    <row r="621" spans="1:13" x14ac:dyDescent="0.3">
      <c r="A621">
        <v>100620</v>
      </c>
      <c r="B621">
        <v>6</v>
      </c>
      <c r="C621" t="str">
        <f t="shared" si="9"/>
        <v>0-18</v>
      </c>
      <c r="D621" t="s">
        <v>12</v>
      </c>
      <c r="E621" t="s">
        <v>19</v>
      </c>
      <c r="F621" t="s">
        <v>21</v>
      </c>
      <c r="G621" t="s">
        <v>26</v>
      </c>
      <c r="H621">
        <v>5</v>
      </c>
      <c r="I621">
        <v>73833</v>
      </c>
      <c r="J621" t="s">
        <v>28</v>
      </c>
      <c r="K621" t="s">
        <v>8</v>
      </c>
      <c r="L621" t="s">
        <v>33</v>
      </c>
      <c r="M621">
        <v>2</v>
      </c>
    </row>
    <row r="622" spans="1:13" x14ac:dyDescent="0.3">
      <c r="A622">
        <v>100621</v>
      </c>
      <c r="B622">
        <v>58</v>
      </c>
      <c r="C622" t="str">
        <f t="shared" si="9"/>
        <v>41-60</v>
      </c>
      <c r="D622" t="s">
        <v>13</v>
      </c>
      <c r="E622" t="s">
        <v>17</v>
      </c>
      <c r="F622" t="s">
        <v>23</v>
      </c>
      <c r="G622" t="s">
        <v>25</v>
      </c>
      <c r="H622">
        <v>6</v>
      </c>
      <c r="I622">
        <v>60755</v>
      </c>
      <c r="J622" t="s">
        <v>28</v>
      </c>
      <c r="K622" t="s">
        <v>30</v>
      </c>
      <c r="L622" t="s">
        <v>33</v>
      </c>
      <c r="M622">
        <v>3</v>
      </c>
    </row>
    <row r="623" spans="1:13" x14ac:dyDescent="0.3">
      <c r="A623">
        <v>100622</v>
      </c>
      <c r="B623">
        <v>44</v>
      </c>
      <c r="C623" t="str">
        <f t="shared" si="9"/>
        <v>41-60</v>
      </c>
      <c r="D623" t="s">
        <v>13</v>
      </c>
      <c r="E623" t="s">
        <v>19</v>
      </c>
      <c r="F623" t="s">
        <v>21</v>
      </c>
      <c r="G623" t="s">
        <v>26</v>
      </c>
      <c r="H623">
        <v>14</v>
      </c>
      <c r="I623">
        <v>29856</v>
      </c>
      <c r="J623" t="s">
        <v>28</v>
      </c>
      <c r="K623" t="s">
        <v>30</v>
      </c>
      <c r="L623" t="s">
        <v>33</v>
      </c>
      <c r="M623">
        <v>4</v>
      </c>
    </row>
    <row r="624" spans="1:13" x14ac:dyDescent="0.3">
      <c r="A624">
        <v>100623</v>
      </c>
      <c r="B624">
        <v>45</v>
      </c>
      <c r="C624" t="str">
        <f t="shared" si="9"/>
        <v>41-60</v>
      </c>
      <c r="D624" t="s">
        <v>13</v>
      </c>
      <c r="E624" t="s">
        <v>18</v>
      </c>
      <c r="F624" t="s">
        <v>23</v>
      </c>
      <c r="G624" t="s">
        <v>25</v>
      </c>
      <c r="H624">
        <v>12</v>
      </c>
      <c r="I624">
        <v>248031</v>
      </c>
      <c r="J624" t="s">
        <v>29</v>
      </c>
      <c r="K624" t="s">
        <v>30</v>
      </c>
      <c r="L624" t="s">
        <v>34</v>
      </c>
      <c r="M624">
        <v>5</v>
      </c>
    </row>
    <row r="625" spans="1:13" x14ac:dyDescent="0.3">
      <c r="A625">
        <v>100624</v>
      </c>
      <c r="B625">
        <v>32</v>
      </c>
      <c r="C625" t="str">
        <f t="shared" si="9"/>
        <v>19-40</v>
      </c>
      <c r="D625" t="s">
        <v>13</v>
      </c>
      <c r="E625" t="s">
        <v>15</v>
      </c>
      <c r="F625" t="s">
        <v>22</v>
      </c>
      <c r="G625" t="s">
        <v>26</v>
      </c>
      <c r="H625">
        <v>4</v>
      </c>
      <c r="I625">
        <v>75870</v>
      </c>
      <c r="J625" t="s">
        <v>28</v>
      </c>
      <c r="K625" t="s">
        <v>31</v>
      </c>
      <c r="L625" t="s">
        <v>34</v>
      </c>
      <c r="M625">
        <v>1</v>
      </c>
    </row>
    <row r="626" spans="1:13" x14ac:dyDescent="0.3">
      <c r="A626">
        <v>100625</v>
      </c>
      <c r="B626">
        <v>45</v>
      </c>
      <c r="C626" t="str">
        <f t="shared" si="9"/>
        <v>41-60</v>
      </c>
      <c r="D626" t="s">
        <v>12</v>
      </c>
      <c r="E626" t="s">
        <v>17</v>
      </c>
      <c r="F626" t="s">
        <v>22</v>
      </c>
      <c r="G626" t="s">
        <v>26</v>
      </c>
      <c r="H626">
        <v>6</v>
      </c>
      <c r="I626">
        <v>157234</v>
      </c>
      <c r="J626" t="s">
        <v>28</v>
      </c>
      <c r="K626" t="s">
        <v>31</v>
      </c>
      <c r="L626" t="s">
        <v>35</v>
      </c>
      <c r="M626">
        <v>3</v>
      </c>
    </row>
    <row r="627" spans="1:13" x14ac:dyDescent="0.3">
      <c r="A627">
        <v>100626</v>
      </c>
      <c r="B627">
        <v>61</v>
      </c>
      <c r="C627" t="str">
        <f t="shared" si="9"/>
        <v>60+</v>
      </c>
      <c r="D627" t="s">
        <v>12</v>
      </c>
      <c r="E627" t="s">
        <v>19</v>
      </c>
      <c r="F627" t="s">
        <v>21</v>
      </c>
      <c r="G627" t="s">
        <v>25</v>
      </c>
      <c r="H627">
        <v>10</v>
      </c>
      <c r="I627">
        <v>139080</v>
      </c>
      <c r="J627" t="s">
        <v>29</v>
      </c>
      <c r="K627" t="s">
        <v>31</v>
      </c>
      <c r="L627" t="s">
        <v>35</v>
      </c>
      <c r="M627">
        <v>2</v>
      </c>
    </row>
    <row r="628" spans="1:13" x14ac:dyDescent="0.3">
      <c r="A628">
        <v>100627</v>
      </c>
      <c r="B628">
        <v>47</v>
      </c>
      <c r="C628" t="str">
        <f t="shared" si="9"/>
        <v>41-60</v>
      </c>
      <c r="D628" t="s">
        <v>12</v>
      </c>
      <c r="E628" t="s">
        <v>14</v>
      </c>
      <c r="F628" t="s">
        <v>24</v>
      </c>
      <c r="G628" t="s">
        <v>26</v>
      </c>
      <c r="H628">
        <v>18</v>
      </c>
      <c r="I628">
        <v>9987</v>
      </c>
      <c r="J628" t="s">
        <v>29</v>
      </c>
      <c r="K628" t="s">
        <v>8</v>
      </c>
      <c r="L628" t="s">
        <v>33</v>
      </c>
      <c r="M628">
        <v>3</v>
      </c>
    </row>
    <row r="629" spans="1:13" x14ac:dyDescent="0.3">
      <c r="A629">
        <v>100628</v>
      </c>
      <c r="B629">
        <v>21</v>
      </c>
      <c r="C629" t="str">
        <f t="shared" si="9"/>
        <v>19-40</v>
      </c>
      <c r="D629" t="s">
        <v>13</v>
      </c>
      <c r="E629" t="s">
        <v>18</v>
      </c>
      <c r="F629" t="s">
        <v>23</v>
      </c>
      <c r="G629" t="s">
        <v>25</v>
      </c>
      <c r="H629">
        <v>15</v>
      </c>
      <c r="I629">
        <v>195604</v>
      </c>
      <c r="J629" t="s">
        <v>29</v>
      </c>
      <c r="K629" t="s">
        <v>31</v>
      </c>
      <c r="L629" t="s">
        <v>33</v>
      </c>
      <c r="M629">
        <v>5</v>
      </c>
    </row>
    <row r="630" spans="1:13" x14ac:dyDescent="0.3">
      <c r="A630">
        <v>100629</v>
      </c>
      <c r="B630">
        <v>80</v>
      </c>
      <c r="C630" t="str">
        <f t="shared" si="9"/>
        <v>60+</v>
      </c>
      <c r="D630" t="s">
        <v>13</v>
      </c>
      <c r="E630" t="s">
        <v>15</v>
      </c>
      <c r="F630" t="s">
        <v>20</v>
      </c>
      <c r="G630" t="s">
        <v>26</v>
      </c>
      <c r="H630">
        <v>8</v>
      </c>
      <c r="I630">
        <v>98502</v>
      </c>
      <c r="J630" t="s">
        <v>29</v>
      </c>
      <c r="K630" t="s">
        <v>8</v>
      </c>
      <c r="L630" t="s">
        <v>32</v>
      </c>
      <c r="M630">
        <v>1</v>
      </c>
    </row>
    <row r="631" spans="1:13" x14ac:dyDescent="0.3">
      <c r="A631">
        <v>100630</v>
      </c>
      <c r="B631">
        <v>85</v>
      </c>
      <c r="C631" t="str">
        <f t="shared" si="9"/>
        <v>60+</v>
      </c>
      <c r="D631" t="s">
        <v>13</v>
      </c>
      <c r="E631" t="s">
        <v>18</v>
      </c>
      <c r="F631" t="s">
        <v>21</v>
      </c>
      <c r="G631" t="s">
        <v>27</v>
      </c>
      <c r="H631">
        <v>9</v>
      </c>
      <c r="I631">
        <v>136404</v>
      </c>
      <c r="J631" t="s">
        <v>28</v>
      </c>
      <c r="K631" t="s">
        <v>30</v>
      </c>
      <c r="L631" t="s">
        <v>33</v>
      </c>
      <c r="M631">
        <v>3</v>
      </c>
    </row>
    <row r="632" spans="1:13" x14ac:dyDescent="0.3">
      <c r="A632">
        <v>100631</v>
      </c>
      <c r="B632">
        <v>75</v>
      </c>
      <c r="C632" t="str">
        <f t="shared" si="9"/>
        <v>60+</v>
      </c>
      <c r="D632" t="s">
        <v>12</v>
      </c>
      <c r="E632" t="s">
        <v>14</v>
      </c>
      <c r="F632" t="s">
        <v>20</v>
      </c>
      <c r="G632" t="s">
        <v>26</v>
      </c>
      <c r="H632">
        <v>5</v>
      </c>
      <c r="I632">
        <v>68323</v>
      </c>
      <c r="J632" t="s">
        <v>28</v>
      </c>
      <c r="K632" t="s">
        <v>30</v>
      </c>
      <c r="L632" t="s">
        <v>35</v>
      </c>
      <c r="M632">
        <v>5</v>
      </c>
    </row>
    <row r="633" spans="1:13" x14ac:dyDescent="0.3">
      <c r="A633">
        <v>100632</v>
      </c>
      <c r="B633">
        <v>36</v>
      </c>
      <c r="C633" t="str">
        <f t="shared" si="9"/>
        <v>19-40</v>
      </c>
      <c r="D633" t="s">
        <v>12</v>
      </c>
      <c r="E633" t="s">
        <v>15</v>
      </c>
      <c r="F633" t="s">
        <v>21</v>
      </c>
      <c r="G633" t="s">
        <v>25</v>
      </c>
      <c r="H633">
        <v>10</v>
      </c>
      <c r="I633">
        <v>172062</v>
      </c>
      <c r="J633" t="s">
        <v>28</v>
      </c>
      <c r="K633" t="s">
        <v>31</v>
      </c>
      <c r="L633" t="s">
        <v>35</v>
      </c>
      <c r="M633">
        <v>2</v>
      </c>
    </row>
    <row r="634" spans="1:13" x14ac:dyDescent="0.3">
      <c r="A634">
        <v>100633</v>
      </c>
      <c r="B634">
        <v>19</v>
      </c>
      <c r="C634" t="str">
        <f t="shared" si="9"/>
        <v>19-40</v>
      </c>
      <c r="D634" t="s">
        <v>13</v>
      </c>
      <c r="E634" t="s">
        <v>18</v>
      </c>
      <c r="F634" t="s">
        <v>24</v>
      </c>
      <c r="G634" t="s">
        <v>26</v>
      </c>
      <c r="H634">
        <v>6</v>
      </c>
      <c r="I634">
        <v>11873</v>
      </c>
      <c r="J634" t="s">
        <v>28</v>
      </c>
      <c r="K634" t="s">
        <v>30</v>
      </c>
      <c r="L634" t="s">
        <v>35</v>
      </c>
      <c r="M634">
        <v>4</v>
      </c>
    </row>
    <row r="635" spans="1:13" x14ac:dyDescent="0.3">
      <c r="A635">
        <v>100634</v>
      </c>
      <c r="B635">
        <v>20</v>
      </c>
      <c r="C635" t="str">
        <f t="shared" si="9"/>
        <v>19-40</v>
      </c>
      <c r="D635" t="s">
        <v>12</v>
      </c>
      <c r="E635" t="s">
        <v>16</v>
      </c>
      <c r="F635" t="s">
        <v>24</v>
      </c>
      <c r="G635" t="s">
        <v>25</v>
      </c>
      <c r="H635">
        <v>16</v>
      </c>
      <c r="I635">
        <v>215614</v>
      </c>
      <c r="J635" t="s">
        <v>29</v>
      </c>
      <c r="K635" t="s">
        <v>31</v>
      </c>
      <c r="L635" t="s">
        <v>34</v>
      </c>
      <c r="M635">
        <v>2</v>
      </c>
    </row>
    <row r="636" spans="1:13" x14ac:dyDescent="0.3">
      <c r="A636">
        <v>100635</v>
      </c>
      <c r="B636">
        <v>57</v>
      </c>
      <c r="C636" t="str">
        <f t="shared" si="9"/>
        <v>41-60</v>
      </c>
      <c r="D636" t="s">
        <v>13</v>
      </c>
      <c r="E636" t="s">
        <v>14</v>
      </c>
      <c r="F636" t="s">
        <v>24</v>
      </c>
      <c r="G636" t="s">
        <v>25</v>
      </c>
      <c r="H636">
        <v>3</v>
      </c>
      <c r="I636">
        <v>218833</v>
      </c>
      <c r="J636" t="s">
        <v>28</v>
      </c>
      <c r="K636" t="s">
        <v>8</v>
      </c>
      <c r="L636" t="s">
        <v>34</v>
      </c>
      <c r="M636">
        <v>1</v>
      </c>
    </row>
    <row r="637" spans="1:13" x14ac:dyDescent="0.3">
      <c r="A637">
        <v>100636</v>
      </c>
      <c r="B637">
        <v>18</v>
      </c>
      <c r="C637" t="str">
        <f t="shared" si="9"/>
        <v>0-18</v>
      </c>
      <c r="D637" t="s">
        <v>13</v>
      </c>
      <c r="E637" t="s">
        <v>14</v>
      </c>
      <c r="F637" t="s">
        <v>24</v>
      </c>
      <c r="G637" t="s">
        <v>27</v>
      </c>
      <c r="H637">
        <v>10</v>
      </c>
      <c r="I637">
        <v>169516</v>
      </c>
      <c r="J637" t="s">
        <v>28</v>
      </c>
      <c r="K637" t="s">
        <v>30</v>
      </c>
      <c r="L637" t="s">
        <v>33</v>
      </c>
      <c r="M637">
        <v>2</v>
      </c>
    </row>
    <row r="638" spans="1:13" x14ac:dyDescent="0.3">
      <c r="A638">
        <v>100637</v>
      </c>
      <c r="B638">
        <v>47</v>
      </c>
      <c r="C638" t="str">
        <f t="shared" si="9"/>
        <v>41-60</v>
      </c>
      <c r="D638" t="s">
        <v>12</v>
      </c>
      <c r="E638" t="s">
        <v>14</v>
      </c>
      <c r="F638" t="s">
        <v>22</v>
      </c>
      <c r="G638" t="s">
        <v>27</v>
      </c>
      <c r="H638">
        <v>11</v>
      </c>
      <c r="I638">
        <v>168412</v>
      </c>
      <c r="J638" t="s">
        <v>28</v>
      </c>
      <c r="K638" t="s">
        <v>31</v>
      </c>
      <c r="L638" t="s">
        <v>32</v>
      </c>
      <c r="M638">
        <v>2</v>
      </c>
    </row>
    <row r="639" spans="1:13" x14ac:dyDescent="0.3">
      <c r="A639">
        <v>100638</v>
      </c>
      <c r="B639">
        <v>49</v>
      </c>
      <c r="C639" t="str">
        <f t="shared" si="9"/>
        <v>41-60</v>
      </c>
      <c r="D639" t="s">
        <v>13</v>
      </c>
      <c r="E639" t="s">
        <v>16</v>
      </c>
      <c r="F639" t="s">
        <v>22</v>
      </c>
      <c r="G639" t="s">
        <v>25</v>
      </c>
      <c r="H639">
        <v>11</v>
      </c>
      <c r="I639">
        <v>107219</v>
      </c>
      <c r="J639" t="s">
        <v>28</v>
      </c>
      <c r="K639" t="s">
        <v>30</v>
      </c>
      <c r="L639" t="s">
        <v>32</v>
      </c>
      <c r="M639">
        <v>2</v>
      </c>
    </row>
    <row r="640" spans="1:13" x14ac:dyDescent="0.3">
      <c r="A640">
        <v>100639</v>
      </c>
      <c r="B640">
        <v>14</v>
      </c>
      <c r="C640" t="str">
        <f t="shared" si="9"/>
        <v>0-18</v>
      </c>
      <c r="D640" t="s">
        <v>12</v>
      </c>
      <c r="E640" t="s">
        <v>16</v>
      </c>
      <c r="F640" t="s">
        <v>23</v>
      </c>
      <c r="G640" t="s">
        <v>26</v>
      </c>
      <c r="H640">
        <v>17</v>
      </c>
      <c r="I640">
        <v>7033</v>
      </c>
      <c r="J640" t="s">
        <v>29</v>
      </c>
      <c r="K640" t="s">
        <v>30</v>
      </c>
      <c r="L640" t="s">
        <v>32</v>
      </c>
      <c r="M640">
        <v>2</v>
      </c>
    </row>
    <row r="641" spans="1:13" x14ac:dyDescent="0.3">
      <c r="A641">
        <v>100640</v>
      </c>
      <c r="B641">
        <v>15</v>
      </c>
      <c r="C641" t="str">
        <f t="shared" si="9"/>
        <v>0-18</v>
      </c>
      <c r="D641" t="s">
        <v>13</v>
      </c>
      <c r="E641" t="s">
        <v>19</v>
      </c>
      <c r="F641" t="s">
        <v>20</v>
      </c>
      <c r="G641" t="s">
        <v>25</v>
      </c>
      <c r="H641">
        <v>4</v>
      </c>
      <c r="I641">
        <v>75324</v>
      </c>
      <c r="J641" t="s">
        <v>28</v>
      </c>
      <c r="K641" t="s">
        <v>31</v>
      </c>
      <c r="L641" t="s">
        <v>34</v>
      </c>
      <c r="M641">
        <v>1</v>
      </c>
    </row>
    <row r="642" spans="1:13" x14ac:dyDescent="0.3">
      <c r="A642">
        <v>100641</v>
      </c>
      <c r="B642">
        <v>31</v>
      </c>
      <c r="C642" t="str">
        <f t="shared" ref="C642:C705" si="10">IF(B642&lt;=18,"0-18",IF(B642&lt;=40,"19-40",IF(B642&lt;=60,"41-60","60+")))</f>
        <v>19-40</v>
      </c>
      <c r="D642" t="s">
        <v>12</v>
      </c>
      <c r="E642" t="s">
        <v>17</v>
      </c>
      <c r="F642" t="s">
        <v>21</v>
      </c>
      <c r="G642" t="s">
        <v>25</v>
      </c>
      <c r="H642">
        <v>4</v>
      </c>
      <c r="I642">
        <v>17689</v>
      </c>
      <c r="J642" t="s">
        <v>28</v>
      </c>
      <c r="K642" t="s">
        <v>30</v>
      </c>
      <c r="L642" t="s">
        <v>35</v>
      </c>
      <c r="M642">
        <v>5</v>
      </c>
    </row>
    <row r="643" spans="1:13" x14ac:dyDescent="0.3">
      <c r="A643">
        <v>100642</v>
      </c>
      <c r="B643">
        <v>1</v>
      </c>
      <c r="C643" t="str">
        <f t="shared" si="10"/>
        <v>0-18</v>
      </c>
      <c r="D643" t="s">
        <v>12</v>
      </c>
      <c r="E643" t="s">
        <v>18</v>
      </c>
      <c r="F643" t="s">
        <v>21</v>
      </c>
      <c r="G643" t="s">
        <v>26</v>
      </c>
      <c r="H643">
        <v>17</v>
      </c>
      <c r="I643">
        <v>111756</v>
      </c>
      <c r="J643" t="s">
        <v>28</v>
      </c>
      <c r="K643" t="s">
        <v>30</v>
      </c>
      <c r="L643" t="s">
        <v>35</v>
      </c>
      <c r="M643">
        <v>3</v>
      </c>
    </row>
    <row r="644" spans="1:13" x14ac:dyDescent="0.3">
      <c r="A644">
        <v>100643</v>
      </c>
      <c r="B644">
        <v>54</v>
      </c>
      <c r="C644" t="str">
        <f t="shared" si="10"/>
        <v>41-60</v>
      </c>
      <c r="D644" t="s">
        <v>12</v>
      </c>
      <c r="E644" t="s">
        <v>19</v>
      </c>
      <c r="F644" t="s">
        <v>22</v>
      </c>
      <c r="G644" t="s">
        <v>26</v>
      </c>
      <c r="H644">
        <v>9</v>
      </c>
      <c r="I644">
        <v>220206</v>
      </c>
      <c r="J644" t="s">
        <v>29</v>
      </c>
      <c r="K644" t="s">
        <v>30</v>
      </c>
      <c r="L644" t="s">
        <v>34</v>
      </c>
      <c r="M644">
        <v>4</v>
      </c>
    </row>
    <row r="645" spans="1:13" x14ac:dyDescent="0.3">
      <c r="A645">
        <v>100644</v>
      </c>
      <c r="B645">
        <v>3</v>
      </c>
      <c r="C645" t="str">
        <f t="shared" si="10"/>
        <v>0-18</v>
      </c>
      <c r="D645" t="s">
        <v>13</v>
      </c>
      <c r="E645" t="s">
        <v>18</v>
      </c>
      <c r="F645" t="s">
        <v>21</v>
      </c>
      <c r="G645" t="s">
        <v>26</v>
      </c>
      <c r="H645">
        <v>19</v>
      </c>
      <c r="I645">
        <v>236088</v>
      </c>
      <c r="J645" t="s">
        <v>29</v>
      </c>
      <c r="K645" t="s">
        <v>30</v>
      </c>
      <c r="L645" t="s">
        <v>32</v>
      </c>
      <c r="M645">
        <v>3</v>
      </c>
    </row>
    <row r="646" spans="1:13" x14ac:dyDescent="0.3">
      <c r="A646">
        <v>100645</v>
      </c>
      <c r="B646">
        <v>16</v>
      </c>
      <c r="C646" t="str">
        <f t="shared" si="10"/>
        <v>0-18</v>
      </c>
      <c r="D646" t="s">
        <v>13</v>
      </c>
      <c r="E646" t="s">
        <v>17</v>
      </c>
      <c r="F646" t="s">
        <v>22</v>
      </c>
      <c r="G646" t="s">
        <v>26</v>
      </c>
      <c r="H646">
        <v>5</v>
      </c>
      <c r="I646">
        <v>228311</v>
      </c>
      <c r="J646" t="s">
        <v>28</v>
      </c>
      <c r="K646" t="s">
        <v>8</v>
      </c>
      <c r="L646" t="s">
        <v>32</v>
      </c>
      <c r="M646">
        <v>3</v>
      </c>
    </row>
    <row r="647" spans="1:13" x14ac:dyDescent="0.3">
      <c r="A647">
        <v>100646</v>
      </c>
      <c r="B647">
        <v>87</v>
      </c>
      <c r="C647" t="str">
        <f t="shared" si="10"/>
        <v>60+</v>
      </c>
      <c r="D647" t="s">
        <v>12</v>
      </c>
      <c r="E647" t="s">
        <v>16</v>
      </c>
      <c r="F647" t="s">
        <v>23</v>
      </c>
      <c r="G647" t="s">
        <v>25</v>
      </c>
      <c r="H647">
        <v>6</v>
      </c>
      <c r="I647">
        <v>2066</v>
      </c>
      <c r="J647" t="s">
        <v>28</v>
      </c>
      <c r="K647" t="s">
        <v>30</v>
      </c>
      <c r="L647" t="s">
        <v>33</v>
      </c>
      <c r="M647">
        <v>4</v>
      </c>
    </row>
    <row r="648" spans="1:13" x14ac:dyDescent="0.3">
      <c r="A648">
        <v>100647</v>
      </c>
      <c r="B648">
        <v>57</v>
      </c>
      <c r="C648" t="str">
        <f t="shared" si="10"/>
        <v>41-60</v>
      </c>
      <c r="D648" t="s">
        <v>12</v>
      </c>
      <c r="E648" t="s">
        <v>17</v>
      </c>
      <c r="F648" t="s">
        <v>20</v>
      </c>
      <c r="G648" t="s">
        <v>25</v>
      </c>
      <c r="H648">
        <v>3</v>
      </c>
      <c r="I648">
        <v>116159</v>
      </c>
      <c r="J648" t="s">
        <v>28</v>
      </c>
      <c r="K648" t="s">
        <v>30</v>
      </c>
      <c r="L648" t="s">
        <v>33</v>
      </c>
      <c r="M648">
        <v>1</v>
      </c>
    </row>
    <row r="649" spans="1:13" x14ac:dyDescent="0.3">
      <c r="A649">
        <v>100648</v>
      </c>
      <c r="B649">
        <v>75</v>
      </c>
      <c r="C649" t="str">
        <f t="shared" si="10"/>
        <v>60+</v>
      </c>
      <c r="D649" t="s">
        <v>13</v>
      </c>
      <c r="E649" t="s">
        <v>16</v>
      </c>
      <c r="F649" t="s">
        <v>23</v>
      </c>
      <c r="G649" t="s">
        <v>27</v>
      </c>
      <c r="H649">
        <v>1</v>
      </c>
      <c r="I649">
        <v>178318</v>
      </c>
      <c r="J649" t="s">
        <v>29</v>
      </c>
      <c r="K649" t="s">
        <v>31</v>
      </c>
      <c r="L649" t="s">
        <v>32</v>
      </c>
      <c r="M649">
        <v>4</v>
      </c>
    </row>
    <row r="650" spans="1:13" x14ac:dyDescent="0.3">
      <c r="A650">
        <v>100649</v>
      </c>
      <c r="B650">
        <v>12</v>
      </c>
      <c r="C650" t="str">
        <f t="shared" si="10"/>
        <v>0-18</v>
      </c>
      <c r="D650" t="s">
        <v>13</v>
      </c>
      <c r="E650" t="s">
        <v>17</v>
      </c>
      <c r="F650" t="s">
        <v>24</v>
      </c>
      <c r="G650" t="s">
        <v>25</v>
      </c>
      <c r="H650">
        <v>16</v>
      </c>
      <c r="I650">
        <v>9533</v>
      </c>
      <c r="J650" t="s">
        <v>28</v>
      </c>
      <c r="K650" t="s">
        <v>8</v>
      </c>
      <c r="L650" t="s">
        <v>34</v>
      </c>
      <c r="M650">
        <v>1</v>
      </c>
    </row>
    <row r="651" spans="1:13" x14ac:dyDescent="0.3">
      <c r="A651">
        <v>100650</v>
      </c>
      <c r="B651">
        <v>74</v>
      </c>
      <c r="C651" t="str">
        <f t="shared" si="10"/>
        <v>60+</v>
      </c>
      <c r="D651" t="s">
        <v>13</v>
      </c>
      <c r="E651" t="s">
        <v>19</v>
      </c>
      <c r="F651" t="s">
        <v>24</v>
      </c>
      <c r="G651" t="s">
        <v>26</v>
      </c>
      <c r="H651">
        <v>11</v>
      </c>
      <c r="I651">
        <v>213711</v>
      </c>
      <c r="J651" t="s">
        <v>28</v>
      </c>
      <c r="K651" t="s">
        <v>31</v>
      </c>
      <c r="L651" t="s">
        <v>32</v>
      </c>
      <c r="M651">
        <v>3</v>
      </c>
    </row>
    <row r="652" spans="1:13" x14ac:dyDescent="0.3">
      <c r="A652">
        <v>100651</v>
      </c>
      <c r="B652">
        <v>16</v>
      </c>
      <c r="C652" t="str">
        <f t="shared" si="10"/>
        <v>0-18</v>
      </c>
      <c r="D652" t="s">
        <v>12</v>
      </c>
      <c r="E652" t="s">
        <v>15</v>
      </c>
      <c r="F652" t="s">
        <v>24</v>
      </c>
      <c r="G652" t="s">
        <v>27</v>
      </c>
      <c r="H652">
        <v>13</v>
      </c>
      <c r="I652">
        <v>203224</v>
      </c>
      <c r="J652" t="s">
        <v>28</v>
      </c>
      <c r="K652" t="s">
        <v>31</v>
      </c>
      <c r="L652" t="s">
        <v>33</v>
      </c>
      <c r="M652">
        <v>1</v>
      </c>
    </row>
    <row r="653" spans="1:13" x14ac:dyDescent="0.3">
      <c r="A653">
        <v>100652</v>
      </c>
      <c r="B653">
        <v>72</v>
      </c>
      <c r="C653" t="str">
        <f t="shared" si="10"/>
        <v>60+</v>
      </c>
      <c r="D653" t="s">
        <v>13</v>
      </c>
      <c r="E653" t="s">
        <v>19</v>
      </c>
      <c r="F653" t="s">
        <v>23</v>
      </c>
      <c r="G653" t="s">
        <v>26</v>
      </c>
      <c r="H653">
        <v>10</v>
      </c>
      <c r="I653">
        <v>244653</v>
      </c>
      <c r="J653" t="s">
        <v>29</v>
      </c>
      <c r="K653" t="s">
        <v>31</v>
      </c>
      <c r="L653" t="s">
        <v>32</v>
      </c>
      <c r="M653">
        <v>5</v>
      </c>
    </row>
    <row r="654" spans="1:13" x14ac:dyDescent="0.3">
      <c r="A654">
        <v>100653</v>
      </c>
      <c r="B654">
        <v>76</v>
      </c>
      <c r="C654" t="str">
        <f t="shared" si="10"/>
        <v>60+</v>
      </c>
      <c r="D654" t="s">
        <v>13</v>
      </c>
      <c r="E654" t="s">
        <v>18</v>
      </c>
      <c r="F654" t="s">
        <v>21</v>
      </c>
      <c r="G654" t="s">
        <v>25</v>
      </c>
      <c r="H654">
        <v>3</v>
      </c>
      <c r="I654">
        <v>117828</v>
      </c>
      <c r="J654" t="s">
        <v>28</v>
      </c>
      <c r="K654" t="s">
        <v>8</v>
      </c>
      <c r="L654" t="s">
        <v>34</v>
      </c>
      <c r="M654">
        <v>4</v>
      </c>
    </row>
    <row r="655" spans="1:13" x14ac:dyDescent="0.3">
      <c r="A655">
        <v>100654</v>
      </c>
      <c r="B655">
        <v>24</v>
      </c>
      <c r="C655" t="str">
        <f t="shared" si="10"/>
        <v>19-40</v>
      </c>
      <c r="D655" t="s">
        <v>12</v>
      </c>
      <c r="E655" t="s">
        <v>19</v>
      </c>
      <c r="F655" t="s">
        <v>20</v>
      </c>
      <c r="G655" t="s">
        <v>27</v>
      </c>
      <c r="H655">
        <v>9</v>
      </c>
      <c r="I655">
        <v>61658</v>
      </c>
      <c r="J655" t="s">
        <v>28</v>
      </c>
      <c r="K655" t="s">
        <v>31</v>
      </c>
      <c r="L655" t="s">
        <v>35</v>
      </c>
      <c r="M655">
        <v>5</v>
      </c>
    </row>
    <row r="656" spans="1:13" x14ac:dyDescent="0.3">
      <c r="A656">
        <v>100655</v>
      </c>
      <c r="B656">
        <v>28</v>
      </c>
      <c r="C656" t="str">
        <f t="shared" si="10"/>
        <v>19-40</v>
      </c>
      <c r="D656" t="s">
        <v>13</v>
      </c>
      <c r="E656" t="s">
        <v>14</v>
      </c>
      <c r="F656" t="s">
        <v>24</v>
      </c>
      <c r="G656" t="s">
        <v>26</v>
      </c>
      <c r="H656">
        <v>12</v>
      </c>
      <c r="I656">
        <v>40498</v>
      </c>
      <c r="J656" t="s">
        <v>29</v>
      </c>
      <c r="K656" t="s">
        <v>31</v>
      </c>
      <c r="L656" t="s">
        <v>34</v>
      </c>
      <c r="M656">
        <v>3</v>
      </c>
    </row>
    <row r="657" spans="1:13" x14ac:dyDescent="0.3">
      <c r="A657">
        <v>100656</v>
      </c>
      <c r="B657">
        <v>8</v>
      </c>
      <c r="C657" t="str">
        <f t="shared" si="10"/>
        <v>0-18</v>
      </c>
      <c r="D657" t="s">
        <v>13</v>
      </c>
      <c r="E657" t="s">
        <v>18</v>
      </c>
      <c r="F657" t="s">
        <v>24</v>
      </c>
      <c r="G657" t="s">
        <v>27</v>
      </c>
      <c r="H657">
        <v>14</v>
      </c>
      <c r="I657">
        <v>111028</v>
      </c>
      <c r="J657" t="s">
        <v>29</v>
      </c>
      <c r="K657" t="s">
        <v>31</v>
      </c>
      <c r="L657" t="s">
        <v>34</v>
      </c>
      <c r="M657">
        <v>4</v>
      </c>
    </row>
    <row r="658" spans="1:13" x14ac:dyDescent="0.3">
      <c r="A658">
        <v>100657</v>
      </c>
      <c r="B658">
        <v>36</v>
      </c>
      <c r="C658" t="str">
        <f t="shared" si="10"/>
        <v>19-40</v>
      </c>
      <c r="D658" t="s">
        <v>13</v>
      </c>
      <c r="E658" t="s">
        <v>17</v>
      </c>
      <c r="F658" t="s">
        <v>24</v>
      </c>
      <c r="G658" t="s">
        <v>27</v>
      </c>
      <c r="H658">
        <v>1</v>
      </c>
      <c r="I658">
        <v>13772</v>
      </c>
      <c r="J658" t="s">
        <v>28</v>
      </c>
      <c r="K658" t="s">
        <v>30</v>
      </c>
      <c r="L658" t="s">
        <v>33</v>
      </c>
      <c r="M658">
        <v>3</v>
      </c>
    </row>
    <row r="659" spans="1:13" x14ac:dyDescent="0.3">
      <c r="A659">
        <v>100658</v>
      </c>
      <c r="B659">
        <v>8</v>
      </c>
      <c r="C659" t="str">
        <f t="shared" si="10"/>
        <v>0-18</v>
      </c>
      <c r="D659" t="s">
        <v>12</v>
      </c>
      <c r="E659" t="s">
        <v>18</v>
      </c>
      <c r="F659" t="s">
        <v>20</v>
      </c>
      <c r="G659" t="s">
        <v>25</v>
      </c>
      <c r="H659">
        <v>18</v>
      </c>
      <c r="I659">
        <v>91385</v>
      </c>
      <c r="J659" t="s">
        <v>29</v>
      </c>
      <c r="K659" t="s">
        <v>31</v>
      </c>
      <c r="L659" t="s">
        <v>34</v>
      </c>
      <c r="M659">
        <v>5</v>
      </c>
    </row>
    <row r="660" spans="1:13" x14ac:dyDescent="0.3">
      <c r="A660">
        <v>100659</v>
      </c>
      <c r="B660">
        <v>58</v>
      </c>
      <c r="C660" t="str">
        <f t="shared" si="10"/>
        <v>41-60</v>
      </c>
      <c r="D660" t="s">
        <v>12</v>
      </c>
      <c r="E660" t="s">
        <v>15</v>
      </c>
      <c r="F660" t="s">
        <v>24</v>
      </c>
      <c r="G660" t="s">
        <v>26</v>
      </c>
      <c r="H660">
        <v>17</v>
      </c>
      <c r="I660">
        <v>182108</v>
      </c>
      <c r="J660" t="s">
        <v>28</v>
      </c>
      <c r="K660" t="s">
        <v>8</v>
      </c>
      <c r="L660" t="s">
        <v>34</v>
      </c>
      <c r="M660">
        <v>3</v>
      </c>
    </row>
    <row r="661" spans="1:13" x14ac:dyDescent="0.3">
      <c r="A661">
        <v>100660</v>
      </c>
      <c r="B661">
        <v>60</v>
      </c>
      <c r="C661" t="str">
        <f t="shared" si="10"/>
        <v>41-60</v>
      </c>
      <c r="D661" t="s">
        <v>12</v>
      </c>
      <c r="E661" t="s">
        <v>16</v>
      </c>
      <c r="F661" t="s">
        <v>20</v>
      </c>
      <c r="G661" t="s">
        <v>27</v>
      </c>
      <c r="H661">
        <v>9</v>
      </c>
      <c r="I661">
        <v>191603</v>
      </c>
      <c r="J661" t="s">
        <v>29</v>
      </c>
      <c r="K661" t="s">
        <v>8</v>
      </c>
      <c r="L661" t="s">
        <v>33</v>
      </c>
      <c r="M661">
        <v>4</v>
      </c>
    </row>
    <row r="662" spans="1:13" x14ac:dyDescent="0.3">
      <c r="A662">
        <v>100661</v>
      </c>
      <c r="B662">
        <v>50</v>
      </c>
      <c r="C662" t="str">
        <f t="shared" si="10"/>
        <v>41-60</v>
      </c>
      <c r="D662" t="s">
        <v>12</v>
      </c>
      <c r="E662" t="s">
        <v>17</v>
      </c>
      <c r="F662" t="s">
        <v>24</v>
      </c>
      <c r="G662" t="s">
        <v>27</v>
      </c>
      <c r="H662">
        <v>9</v>
      </c>
      <c r="I662">
        <v>14940</v>
      </c>
      <c r="J662" t="s">
        <v>29</v>
      </c>
      <c r="K662" t="s">
        <v>30</v>
      </c>
      <c r="L662" t="s">
        <v>33</v>
      </c>
      <c r="M662">
        <v>4</v>
      </c>
    </row>
    <row r="663" spans="1:13" x14ac:dyDescent="0.3">
      <c r="A663">
        <v>100662</v>
      </c>
      <c r="B663">
        <v>28</v>
      </c>
      <c r="C663" t="str">
        <f t="shared" si="10"/>
        <v>19-40</v>
      </c>
      <c r="D663" t="s">
        <v>12</v>
      </c>
      <c r="E663" t="s">
        <v>18</v>
      </c>
      <c r="F663" t="s">
        <v>23</v>
      </c>
      <c r="G663" t="s">
        <v>26</v>
      </c>
      <c r="H663">
        <v>10</v>
      </c>
      <c r="I663">
        <v>120027</v>
      </c>
      <c r="J663" t="s">
        <v>28</v>
      </c>
      <c r="K663" t="s">
        <v>8</v>
      </c>
      <c r="L663" t="s">
        <v>35</v>
      </c>
      <c r="M663">
        <v>3</v>
      </c>
    </row>
    <row r="664" spans="1:13" x14ac:dyDescent="0.3">
      <c r="A664">
        <v>100663</v>
      </c>
      <c r="B664">
        <v>41</v>
      </c>
      <c r="C664" t="str">
        <f t="shared" si="10"/>
        <v>41-60</v>
      </c>
      <c r="D664" t="s">
        <v>12</v>
      </c>
      <c r="E664" t="s">
        <v>17</v>
      </c>
      <c r="F664" t="s">
        <v>23</v>
      </c>
      <c r="G664" t="s">
        <v>27</v>
      </c>
      <c r="H664">
        <v>19</v>
      </c>
      <c r="I664">
        <v>18932</v>
      </c>
      <c r="J664" t="s">
        <v>28</v>
      </c>
      <c r="K664" t="s">
        <v>8</v>
      </c>
      <c r="L664" t="s">
        <v>32</v>
      </c>
      <c r="M664">
        <v>4</v>
      </c>
    </row>
    <row r="665" spans="1:13" x14ac:dyDescent="0.3">
      <c r="A665">
        <v>100664</v>
      </c>
      <c r="B665">
        <v>64</v>
      </c>
      <c r="C665" t="str">
        <f t="shared" si="10"/>
        <v>60+</v>
      </c>
      <c r="D665" t="s">
        <v>12</v>
      </c>
      <c r="E665" t="s">
        <v>17</v>
      </c>
      <c r="F665" t="s">
        <v>20</v>
      </c>
      <c r="G665" t="s">
        <v>27</v>
      </c>
      <c r="H665">
        <v>15</v>
      </c>
      <c r="I665">
        <v>228377</v>
      </c>
      <c r="J665" t="s">
        <v>28</v>
      </c>
      <c r="K665" t="s">
        <v>30</v>
      </c>
      <c r="L665" t="s">
        <v>34</v>
      </c>
      <c r="M665">
        <v>4</v>
      </c>
    </row>
    <row r="666" spans="1:13" x14ac:dyDescent="0.3">
      <c r="A666">
        <v>100665</v>
      </c>
      <c r="B666">
        <v>27</v>
      </c>
      <c r="C666" t="str">
        <f t="shared" si="10"/>
        <v>19-40</v>
      </c>
      <c r="D666" t="s">
        <v>13</v>
      </c>
      <c r="E666" t="s">
        <v>17</v>
      </c>
      <c r="F666" t="s">
        <v>23</v>
      </c>
      <c r="G666" t="s">
        <v>27</v>
      </c>
      <c r="H666">
        <v>5</v>
      </c>
      <c r="I666">
        <v>189899</v>
      </c>
      <c r="J666" t="s">
        <v>29</v>
      </c>
      <c r="K666" t="s">
        <v>31</v>
      </c>
      <c r="L666" t="s">
        <v>33</v>
      </c>
      <c r="M666">
        <v>3</v>
      </c>
    </row>
    <row r="667" spans="1:13" x14ac:dyDescent="0.3">
      <c r="A667">
        <v>100666</v>
      </c>
      <c r="B667">
        <v>63</v>
      </c>
      <c r="C667" t="str">
        <f t="shared" si="10"/>
        <v>60+</v>
      </c>
      <c r="D667" t="s">
        <v>13</v>
      </c>
      <c r="E667" t="s">
        <v>16</v>
      </c>
      <c r="F667" t="s">
        <v>20</v>
      </c>
      <c r="G667" t="s">
        <v>26</v>
      </c>
      <c r="H667">
        <v>15</v>
      </c>
      <c r="I667">
        <v>194503</v>
      </c>
      <c r="J667" t="s">
        <v>28</v>
      </c>
      <c r="K667" t="s">
        <v>30</v>
      </c>
      <c r="L667" t="s">
        <v>35</v>
      </c>
      <c r="M667">
        <v>5</v>
      </c>
    </row>
    <row r="668" spans="1:13" x14ac:dyDescent="0.3">
      <c r="A668">
        <v>100667</v>
      </c>
      <c r="B668">
        <v>17</v>
      </c>
      <c r="C668" t="str">
        <f t="shared" si="10"/>
        <v>0-18</v>
      </c>
      <c r="D668" t="s">
        <v>12</v>
      </c>
      <c r="E668" t="s">
        <v>19</v>
      </c>
      <c r="F668" t="s">
        <v>23</v>
      </c>
      <c r="G668" t="s">
        <v>26</v>
      </c>
      <c r="H668">
        <v>2</v>
      </c>
      <c r="I668">
        <v>26648</v>
      </c>
      <c r="J668" t="s">
        <v>28</v>
      </c>
      <c r="K668" t="s">
        <v>31</v>
      </c>
      <c r="L668" t="s">
        <v>32</v>
      </c>
      <c r="M668">
        <v>4</v>
      </c>
    </row>
    <row r="669" spans="1:13" x14ac:dyDescent="0.3">
      <c r="A669">
        <v>100668</v>
      </c>
      <c r="B669">
        <v>73</v>
      </c>
      <c r="C669" t="str">
        <f t="shared" si="10"/>
        <v>60+</v>
      </c>
      <c r="D669" t="s">
        <v>13</v>
      </c>
      <c r="E669" t="s">
        <v>17</v>
      </c>
      <c r="F669" t="s">
        <v>23</v>
      </c>
      <c r="G669" t="s">
        <v>26</v>
      </c>
      <c r="H669">
        <v>13</v>
      </c>
      <c r="I669">
        <v>246019</v>
      </c>
      <c r="J669" t="s">
        <v>28</v>
      </c>
      <c r="K669" t="s">
        <v>31</v>
      </c>
      <c r="L669" t="s">
        <v>33</v>
      </c>
      <c r="M669">
        <v>4</v>
      </c>
    </row>
    <row r="670" spans="1:13" x14ac:dyDescent="0.3">
      <c r="A670">
        <v>100669</v>
      </c>
      <c r="B670">
        <v>33</v>
      </c>
      <c r="C670" t="str">
        <f t="shared" si="10"/>
        <v>19-40</v>
      </c>
      <c r="D670" t="s">
        <v>13</v>
      </c>
      <c r="E670" t="s">
        <v>14</v>
      </c>
      <c r="F670" t="s">
        <v>20</v>
      </c>
      <c r="G670" t="s">
        <v>26</v>
      </c>
      <c r="H670">
        <v>16</v>
      </c>
      <c r="I670">
        <v>34966</v>
      </c>
      <c r="J670" t="s">
        <v>28</v>
      </c>
      <c r="K670" t="s">
        <v>8</v>
      </c>
      <c r="L670" t="s">
        <v>32</v>
      </c>
      <c r="M670">
        <v>4</v>
      </c>
    </row>
    <row r="671" spans="1:13" x14ac:dyDescent="0.3">
      <c r="A671">
        <v>100670</v>
      </c>
      <c r="B671">
        <v>84</v>
      </c>
      <c r="C671" t="str">
        <f t="shared" si="10"/>
        <v>60+</v>
      </c>
      <c r="D671" t="s">
        <v>12</v>
      </c>
      <c r="E671" t="s">
        <v>15</v>
      </c>
      <c r="F671" t="s">
        <v>21</v>
      </c>
      <c r="G671" t="s">
        <v>25</v>
      </c>
      <c r="H671">
        <v>15</v>
      </c>
      <c r="I671">
        <v>160849</v>
      </c>
      <c r="J671" t="s">
        <v>28</v>
      </c>
      <c r="K671" t="s">
        <v>30</v>
      </c>
      <c r="L671" t="s">
        <v>32</v>
      </c>
      <c r="M671">
        <v>4</v>
      </c>
    </row>
    <row r="672" spans="1:13" x14ac:dyDescent="0.3">
      <c r="A672">
        <v>100671</v>
      </c>
      <c r="B672">
        <v>77</v>
      </c>
      <c r="C672" t="str">
        <f t="shared" si="10"/>
        <v>60+</v>
      </c>
      <c r="D672" t="s">
        <v>13</v>
      </c>
      <c r="E672" t="s">
        <v>16</v>
      </c>
      <c r="F672" t="s">
        <v>23</v>
      </c>
      <c r="G672" t="s">
        <v>27</v>
      </c>
      <c r="H672">
        <v>10</v>
      </c>
      <c r="I672">
        <v>165639</v>
      </c>
      <c r="J672" t="s">
        <v>29</v>
      </c>
      <c r="K672" t="s">
        <v>8</v>
      </c>
      <c r="L672" t="s">
        <v>34</v>
      </c>
      <c r="M672">
        <v>3</v>
      </c>
    </row>
    <row r="673" spans="1:13" x14ac:dyDescent="0.3">
      <c r="A673">
        <v>100672</v>
      </c>
      <c r="B673">
        <v>29</v>
      </c>
      <c r="C673" t="str">
        <f t="shared" si="10"/>
        <v>19-40</v>
      </c>
      <c r="D673" t="s">
        <v>13</v>
      </c>
      <c r="E673" t="s">
        <v>18</v>
      </c>
      <c r="F673" t="s">
        <v>24</v>
      </c>
      <c r="G673" t="s">
        <v>26</v>
      </c>
      <c r="H673">
        <v>14</v>
      </c>
      <c r="I673">
        <v>248331</v>
      </c>
      <c r="J673" t="s">
        <v>28</v>
      </c>
      <c r="K673" t="s">
        <v>8</v>
      </c>
      <c r="L673" t="s">
        <v>34</v>
      </c>
      <c r="M673">
        <v>5</v>
      </c>
    </row>
    <row r="674" spans="1:13" x14ac:dyDescent="0.3">
      <c r="A674">
        <v>100673</v>
      </c>
      <c r="B674">
        <v>13</v>
      </c>
      <c r="C674" t="str">
        <f t="shared" si="10"/>
        <v>0-18</v>
      </c>
      <c r="D674" t="s">
        <v>13</v>
      </c>
      <c r="E674" t="s">
        <v>16</v>
      </c>
      <c r="F674" t="s">
        <v>21</v>
      </c>
      <c r="G674" t="s">
        <v>27</v>
      </c>
      <c r="H674">
        <v>10</v>
      </c>
      <c r="I674">
        <v>150246</v>
      </c>
      <c r="J674" t="s">
        <v>28</v>
      </c>
      <c r="K674" t="s">
        <v>31</v>
      </c>
      <c r="L674" t="s">
        <v>33</v>
      </c>
      <c r="M674">
        <v>5</v>
      </c>
    </row>
    <row r="675" spans="1:13" x14ac:dyDescent="0.3">
      <c r="A675">
        <v>100674</v>
      </c>
      <c r="B675">
        <v>46</v>
      </c>
      <c r="C675" t="str">
        <f t="shared" si="10"/>
        <v>41-60</v>
      </c>
      <c r="D675" t="s">
        <v>13</v>
      </c>
      <c r="E675" t="s">
        <v>18</v>
      </c>
      <c r="F675" t="s">
        <v>20</v>
      </c>
      <c r="G675" t="s">
        <v>27</v>
      </c>
      <c r="H675">
        <v>14</v>
      </c>
      <c r="I675">
        <v>44598</v>
      </c>
      <c r="J675" t="s">
        <v>29</v>
      </c>
      <c r="K675" t="s">
        <v>8</v>
      </c>
      <c r="L675" t="s">
        <v>32</v>
      </c>
      <c r="M675">
        <v>1</v>
      </c>
    </row>
    <row r="676" spans="1:13" x14ac:dyDescent="0.3">
      <c r="A676">
        <v>100675</v>
      </c>
      <c r="B676">
        <v>35</v>
      </c>
      <c r="C676" t="str">
        <f t="shared" si="10"/>
        <v>19-40</v>
      </c>
      <c r="D676" t="s">
        <v>13</v>
      </c>
      <c r="E676" t="s">
        <v>16</v>
      </c>
      <c r="F676" t="s">
        <v>21</v>
      </c>
      <c r="G676" t="s">
        <v>25</v>
      </c>
      <c r="H676">
        <v>9</v>
      </c>
      <c r="I676">
        <v>192271</v>
      </c>
      <c r="J676" t="s">
        <v>28</v>
      </c>
      <c r="K676" t="s">
        <v>30</v>
      </c>
      <c r="L676" t="s">
        <v>33</v>
      </c>
      <c r="M676">
        <v>4</v>
      </c>
    </row>
    <row r="677" spans="1:13" x14ac:dyDescent="0.3">
      <c r="A677">
        <v>100676</v>
      </c>
      <c r="B677">
        <v>6</v>
      </c>
      <c r="C677" t="str">
        <f t="shared" si="10"/>
        <v>0-18</v>
      </c>
      <c r="D677" t="s">
        <v>12</v>
      </c>
      <c r="E677" t="s">
        <v>18</v>
      </c>
      <c r="F677" t="s">
        <v>22</v>
      </c>
      <c r="G677" t="s">
        <v>26</v>
      </c>
      <c r="H677">
        <v>14</v>
      </c>
      <c r="I677">
        <v>146870</v>
      </c>
      <c r="J677" t="s">
        <v>28</v>
      </c>
      <c r="K677" t="s">
        <v>8</v>
      </c>
      <c r="L677" t="s">
        <v>33</v>
      </c>
      <c r="M677">
        <v>4</v>
      </c>
    </row>
    <row r="678" spans="1:13" x14ac:dyDescent="0.3">
      <c r="A678">
        <v>100677</v>
      </c>
      <c r="B678">
        <v>82</v>
      </c>
      <c r="C678" t="str">
        <f t="shared" si="10"/>
        <v>60+</v>
      </c>
      <c r="D678" t="s">
        <v>12</v>
      </c>
      <c r="E678" t="s">
        <v>17</v>
      </c>
      <c r="F678" t="s">
        <v>22</v>
      </c>
      <c r="G678" t="s">
        <v>26</v>
      </c>
      <c r="H678">
        <v>3</v>
      </c>
      <c r="I678">
        <v>198436</v>
      </c>
      <c r="J678" t="s">
        <v>28</v>
      </c>
      <c r="K678" t="s">
        <v>8</v>
      </c>
      <c r="L678" t="s">
        <v>32</v>
      </c>
      <c r="M678">
        <v>1</v>
      </c>
    </row>
    <row r="679" spans="1:13" x14ac:dyDescent="0.3">
      <c r="A679">
        <v>100678</v>
      </c>
      <c r="B679">
        <v>69</v>
      </c>
      <c r="C679" t="str">
        <f t="shared" si="10"/>
        <v>60+</v>
      </c>
      <c r="D679" t="s">
        <v>12</v>
      </c>
      <c r="E679" t="s">
        <v>19</v>
      </c>
      <c r="F679" t="s">
        <v>23</v>
      </c>
      <c r="G679" t="s">
        <v>27</v>
      </c>
      <c r="H679">
        <v>16</v>
      </c>
      <c r="I679">
        <v>150630</v>
      </c>
      <c r="J679" t="s">
        <v>28</v>
      </c>
      <c r="K679" t="s">
        <v>31</v>
      </c>
      <c r="L679" t="s">
        <v>33</v>
      </c>
      <c r="M679">
        <v>5</v>
      </c>
    </row>
    <row r="680" spans="1:13" x14ac:dyDescent="0.3">
      <c r="A680">
        <v>100679</v>
      </c>
      <c r="B680">
        <v>47</v>
      </c>
      <c r="C680" t="str">
        <f t="shared" si="10"/>
        <v>41-60</v>
      </c>
      <c r="D680" t="s">
        <v>13</v>
      </c>
      <c r="E680" t="s">
        <v>18</v>
      </c>
      <c r="F680" t="s">
        <v>23</v>
      </c>
      <c r="G680" t="s">
        <v>26</v>
      </c>
      <c r="H680">
        <v>2</v>
      </c>
      <c r="I680">
        <v>63084</v>
      </c>
      <c r="J680" t="s">
        <v>28</v>
      </c>
      <c r="K680" t="s">
        <v>30</v>
      </c>
      <c r="L680" t="s">
        <v>32</v>
      </c>
      <c r="M680">
        <v>2</v>
      </c>
    </row>
    <row r="681" spans="1:13" x14ac:dyDescent="0.3">
      <c r="A681">
        <v>100680</v>
      </c>
      <c r="B681">
        <v>25</v>
      </c>
      <c r="C681" t="str">
        <f t="shared" si="10"/>
        <v>19-40</v>
      </c>
      <c r="D681" t="s">
        <v>12</v>
      </c>
      <c r="E681" t="s">
        <v>18</v>
      </c>
      <c r="F681" t="s">
        <v>24</v>
      </c>
      <c r="G681" t="s">
        <v>27</v>
      </c>
      <c r="H681">
        <v>10</v>
      </c>
      <c r="I681">
        <v>177309</v>
      </c>
      <c r="J681" t="s">
        <v>29</v>
      </c>
      <c r="K681" t="s">
        <v>8</v>
      </c>
      <c r="L681" t="s">
        <v>32</v>
      </c>
      <c r="M681">
        <v>2</v>
      </c>
    </row>
    <row r="682" spans="1:13" x14ac:dyDescent="0.3">
      <c r="A682">
        <v>100681</v>
      </c>
      <c r="B682">
        <v>66</v>
      </c>
      <c r="C682" t="str">
        <f t="shared" si="10"/>
        <v>60+</v>
      </c>
      <c r="D682" t="s">
        <v>13</v>
      </c>
      <c r="E682" t="s">
        <v>14</v>
      </c>
      <c r="F682" t="s">
        <v>21</v>
      </c>
      <c r="G682" t="s">
        <v>27</v>
      </c>
      <c r="H682">
        <v>3</v>
      </c>
      <c r="I682">
        <v>198569</v>
      </c>
      <c r="J682" t="s">
        <v>29</v>
      </c>
      <c r="K682" t="s">
        <v>31</v>
      </c>
      <c r="L682" t="s">
        <v>32</v>
      </c>
      <c r="M682">
        <v>5</v>
      </c>
    </row>
    <row r="683" spans="1:13" x14ac:dyDescent="0.3">
      <c r="A683">
        <v>100682</v>
      </c>
      <c r="B683">
        <v>10</v>
      </c>
      <c r="C683" t="str">
        <f t="shared" si="10"/>
        <v>0-18</v>
      </c>
      <c r="D683" t="s">
        <v>13</v>
      </c>
      <c r="E683" t="s">
        <v>18</v>
      </c>
      <c r="F683" t="s">
        <v>22</v>
      </c>
      <c r="G683" t="s">
        <v>25</v>
      </c>
      <c r="H683">
        <v>11</v>
      </c>
      <c r="I683">
        <v>133250</v>
      </c>
      <c r="J683" t="s">
        <v>29</v>
      </c>
      <c r="K683" t="s">
        <v>8</v>
      </c>
      <c r="L683" t="s">
        <v>32</v>
      </c>
      <c r="M683">
        <v>4</v>
      </c>
    </row>
    <row r="684" spans="1:13" x14ac:dyDescent="0.3">
      <c r="A684">
        <v>100683</v>
      </c>
      <c r="B684">
        <v>56</v>
      </c>
      <c r="C684" t="str">
        <f t="shared" si="10"/>
        <v>41-60</v>
      </c>
      <c r="D684" t="s">
        <v>13</v>
      </c>
      <c r="E684" t="s">
        <v>14</v>
      </c>
      <c r="F684" t="s">
        <v>23</v>
      </c>
      <c r="G684" t="s">
        <v>25</v>
      </c>
      <c r="H684">
        <v>11</v>
      </c>
      <c r="I684">
        <v>219078</v>
      </c>
      <c r="J684" t="s">
        <v>28</v>
      </c>
      <c r="K684" t="s">
        <v>30</v>
      </c>
      <c r="L684" t="s">
        <v>35</v>
      </c>
      <c r="M684">
        <v>2</v>
      </c>
    </row>
    <row r="685" spans="1:13" x14ac:dyDescent="0.3">
      <c r="A685">
        <v>100684</v>
      </c>
      <c r="B685">
        <v>30</v>
      </c>
      <c r="C685" t="str">
        <f t="shared" si="10"/>
        <v>19-40</v>
      </c>
      <c r="D685" t="s">
        <v>13</v>
      </c>
      <c r="E685" t="s">
        <v>15</v>
      </c>
      <c r="F685" t="s">
        <v>21</v>
      </c>
      <c r="G685" t="s">
        <v>25</v>
      </c>
      <c r="H685">
        <v>13</v>
      </c>
      <c r="I685">
        <v>19118</v>
      </c>
      <c r="J685" t="s">
        <v>29</v>
      </c>
      <c r="K685" t="s">
        <v>8</v>
      </c>
      <c r="L685" t="s">
        <v>32</v>
      </c>
      <c r="M685">
        <v>3</v>
      </c>
    </row>
    <row r="686" spans="1:13" x14ac:dyDescent="0.3">
      <c r="A686">
        <v>100685</v>
      </c>
      <c r="B686">
        <v>5</v>
      </c>
      <c r="C686" t="str">
        <f t="shared" si="10"/>
        <v>0-18</v>
      </c>
      <c r="D686" t="s">
        <v>12</v>
      </c>
      <c r="E686" t="s">
        <v>17</v>
      </c>
      <c r="F686" t="s">
        <v>23</v>
      </c>
      <c r="G686" t="s">
        <v>27</v>
      </c>
      <c r="H686">
        <v>7</v>
      </c>
      <c r="I686">
        <v>24616</v>
      </c>
      <c r="J686" t="s">
        <v>28</v>
      </c>
      <c r="K686" t="s">
        <v>8</v>
      </c>
      <c r="L686" t="s">
        <v>34</v>
      </c>
      <c r="M686">
        <v>3</v>
      </c>
    </row>
    <row r="687" spans="1:13" x14ac:dyDescent="0.3">
      <c r="A687">
        <v>100686</v>
      </c>
      <c r="B687">
        <v>33</v>
      </c>
      <c r="C687" t="str">
        <f t="shared" si="10"/>
        <v>19-40</v>
      </c>
      <c r="D687" t="s">
        <v>12</v>
      </c>
      <c r="E687" t="s">
        <v>14</v>
      </c>
      <c r="F687" t="s">
        <v>23</v>
      </c>
      <c r="G687" t="s">
        <v>26</v>
      </c>
      <c r="H687">
        <v>17</v>
      </c>
      <c r="I687">
        <v>133870</v>
      </c>
      <c r="J687" t="s">
        <v>28</v>
      </c>
      <c r="K687" t="s">
        <v>31</v>
      </c>
      <c r="L687" t="s">
        <v>34</v>
      </c>
      <c r="M687">
        <v>1</v>
      </c>
    </row>
    <row r="688" spans="1:13" x14ac:dyDescent="0.3">
      <c r="A688">
        <v>100687</v>
      </c>
      <c r="B688">
        <v>65</v>
      </c>
      <c r="C688" t="str">
        <f t="shared" si="10"/>
        <v>60+</v>
      </c>
      <c r="D688" t="s">
        <v>13</v>
      </c>
      <c r="E688" t="s">
        <v>19</v>
      </c>
      <c r="F688" t="s">
        <v>22</v>
      </c>
      <c r="G688" t="s">
        <v>25</v>
      </c>
      <c r="H688">
        <v>2</v>
      </c>
      <c r="I688">
        <v>9601</v>
      </c>
      <c r="J688" t="s">
        <v>28</v>
      </c>
      <c r="K688" t="s">
        <v>8</v>
      </c>
      <c r="L688" t="s">
        <v>34</v>
      </c>
      <c r="M688">
        <v>5</v>
      </c>
    </row>
    <row r="689" spans="1:13" x14ac:dyDescent="0.3">
      <c r="A689">
        <v>100688</v>
      </c>
      <c r="B689">
        <v>18</v>
      </c>
      <c r="C689" t="str">
        <f t="shared" si="10"/>
        <v>0-18</v>
      </c>
      <c r="D689" t="s">
        <v>12</v>
      </c>
      <c r="E689" t="s">
        <v>17</v>
      </c>
      <c r="F689" t="s">
        <v>22</v>
      </c>
      <c r="G689" t="s">
        <v>26</v>
      </c>
      <c r="H689">
        <v>12</v>
      </c>
      <c r="I689">
        <v>27363</v>
      </c>
      <c r="J689" t="s">
        <v>29</v>
      </c>
      <c r="K689" t="s">
        <v>31</v>
      </c>
      <c r="L689" t="s">
        <v>32</v>
      </c>
      <c r="M689">
        <v>5</v>
      </c>
    </row>
    <row r="690" spans="1:13" x14ac:dyDescent="0.3">
      <c r="A690">
        <v>100689</v>
      </c>
      <c r="B690">
        <v>49</v>
      </c>
      <c r="C690" t="str">
        <f t="shared" si="10"/>
        <v>41-60</v>
      </c>
      <c r="D690" t="s">
        <v>13</v>
      </c>
      <c r="E690" t="s">
        <v>14</v>
      </c>
      <c r="F690" t="s">
        <v>23</v>
      </c>
      <c r="G690" t="s">
        <v>25</v>
      </c>
      <c r="H690">
        <v>10</v>
      </c>
      <c r="I690">
        <v>4795</v>
      </c>
      <c r="J690" t="s">
        <v>29</v>
      </c>
      <c r="K690" t="s">
        <v>30</v>
      </c>
      <c r="L690" t="s">
        <v>34</v>
      </c>
      <c r="M690">
        <v>2</v>
      </c>
    </row>
    <row r="691" spans="1:13" x14ac:dyDescent="0.3">
      <c r="A691">
        <v>100690</v>
      </c>
      <c r="B691">
        <v>11</v>
      </c>
      <c r="C691" t="str">
        <f t="shared" si="10"/>
        <v>0-18</v>
      </c>
      <c r="D691" t="s">
        <v>12</v>
      </c>
      <c r="E691" t="s">
        <v>17</v>
      </c>
      <c r="F691" t="s">
        <v>20</v>
      </c>
      <c r="G691" t="s">
        <v>25</v>
      </c>
      <c r="H691">
        <v>18</v>
      </c>
      <c r="I691">
        <v>99462</v>
      </c>
      <c r="J691" t="s">
        <v>29</v>
      </c>
      <c r="K691" t="s">
        <v>8</v>
      </c>
      <c r="L691" t="s">
        <v>35</v>
      </c>
      <c r="M691">
        <v>4</v>
      </c>
    </row>
    <row r="692" spans="1:13" x14ac:dyDescent="0.3">
      <c r="A692">
        <v>100691</v>
      </c>
      <c r="B692">
        <v>85</v>
      </c>
      <c r="C692" t="str">
        <f t="shared" si="10"/>
        <v>60+</v>
      </c>
      <c r="D692" t="s">
        <v>12</v>
      </c>
      <c r="E692" t="s">
        <v>17</v>
      </c>
      <c r="F692" t="s">
        <v>23</v>
      </c>
      <c r="G692" t="s">
        <v>27</v>
      </c>
      <c r="H692">
        <v>11</v>
      </c>
      <c r="I692">
        <v>178336</v>
      </c>
      <c r="J692" t="s">
        <v>28</v>
      </c>
      <c r="K692" t="s">
        <v>30</v>
      </c>
      <c r="L692" t="s">
        <v>33</v>
      </c>
      <c r="M692">
        <v>5</v>
      </c>
    </row>
    <row r="693" spans="1:13" x14ac:dyDescent="0.3">
      <c r="A693">
        <v>100692</v>
      </c>
      <c r="B693">
        <v>26</v>
      </c>
      <c r="C693" t="str">
        <f t="shared" si="10"/>
        <v>19-40</v>
      </c>
      <c r="D693" t="s">
        <v>13</v>
      </c>
      <c r="E693" t="s">
        <v>17</v>
      </c>
      <c r="F693" t="s">
        <v>23</v>
      </c>
      <c r="G693" t="s">
        <v>25</v>
      </c>
      <c r="H693">
        <v>16</v>
      </c>
      <c r="I693">
        <v>104892</v>
      </c>
      <c r="J693" t="s">
        <v>29</v>
      </c>
      <c r="K693" t="s">
        <v>30</v>
      </c>
      <c r="L693" t="s">
        <v>32</v>
      </c>
      <c r="M693">
        <v>2</v>
      </c>
    </row>
    <row r="694" spans="1:13" x14ac:dyDescent="0.3">
      <c r="A694">
        <v>100693</v>
      </c>
      <c r="B694">
        <v>63</v>
      </c>
      <c r="C694" t="str">
        <f t="shared" si="10"/>
        <v>60+</v>
      </c>
      <c r="D694" t="s">
        <v>12</v>
      </c>
      <c r="E694" t="s">
        <v>15</v>
      </c>
      <c r="F694" t="s">
        <v>24</v>
      </c>
      <c r="G694" t="s">
        <v>25</v>
      </c>
      <c r="H694">
        <v>17</v>
      </c>
      <c r="I694">
        <v>74833</v>
      </c>
      <c r="J694" t="s">
        <v>28</v>
      </c>
      <c r="K694" t="s">
        <v>8</v>
      </c>
      <c r="L694" t="s">
        <v>34</v>
      </c>
      <c r="M694">
        <v>2</v>
      </c>
    </row>
    <row r="695" spans="1:13" x14ac:dyDescent="0.3">
      <c r="A695">
        <v>100694</v>
      </c>
      <c r="B695">
        <v>89</v>
      </c>
      <c r="C695" t="str">
        <f t="shared" si="10"/>
        <v>60+</v>
      </c>
      <c r="D695" t="s">
        <v>13</v>
      </c>
      <c r="E695" t="s">
        <v>19</v>
      </c>
      <c r="F695" t="s">
        <v>24</v>
      </c>
      <c r="G695" t="s">
        <v>27</v>
      </c>
      <c r="H695">
        <v>19</v>
      </c>
      <c r="I695">
        <v>5084</v>
      </c>
      <c r="J695" t="s">
        <v>29</v>
      </c>
      <c r="K695" t="s">
        <v>31</v>
      </c>
      <c r="L695" t="s">
        <v>35</v>
      </c>
      <c r="M695">
        <v>5</v>
      </c>
    </row>
    <row r="696" spans="1:13" x14ac:dyDescent="0.3">
      <c r="A696">
        <v>100695</v>
      </c>
      <c r="B696">
        <v>86</v>
      </c>
      <c r="C696" t="str">
        <f t="shared" si="10"/>
        <v>60+</v>
      </c>
      <c r="D696" t="s">
        <v>12</v>
      </c>
      <c r="E696" t="s">
        <v>16</v>
      </c>
      <c r="F696" t="s">
        <v>24</v>
      </c>
      <c r="G696" t="s">
        <v>26</v>
      </c>
      <c r="H696">
        <v>18</v>
      </c>
      <c r="I696">
        <v>97865</v>
      </c>
      <c r="J696" t="s">
        <v>29</v>
      </c>
      <c r="K696" t="s">
        <v>30</v>
      </c>
      <c r="L696" t="s">
        <v>33</v>
      </c>
      <c r="M696">
        <v>2</v>
      </c>
    </row>
    <row r="697" spans="1:13" x14ac:dyDescent="0.3">
      <c r="A697">
        <v>100696</v>
      </c>
      <c r="B697">
        <v>59</v>
      </c>
      <c r="C697" t="str">
        <f t="shared" si="10"/>
        <v>41-60</v>
      </c>
      <c r="D697" t="s">
        <v>13</v>
      </c>
      <c r="E697" t="s">
        <v>16</v>
      </c>
      <c r="F697" t="s">
        <v>20</v>
      </c>
      <c r="G697" t="s">
        <v>25</v>
      </c>
      <c r="H697">
        <v>3</v>
      </c>
      <c r="I697">
        <v>209718</v>
      </c>
      <c r="J697" t="s">
        <v>28</v>
      </c>
      <c r="K697" t="s">
        <v>30</v>
      </c>
      <c r="L697" t="s">
        <v>35</v>
      </c>
      <c r="M697">
        <v>1</v>
      </c>
    </row>
    <row r="698" spans="1:13" x14ac:dyDescent="0.3">
      <c r="A698">
        <v>100697</v>
      </c>
      <c r="B698">
        <v>27</v>
      </c>
      <c r="C698" t="str">
        <f t="shared" si="10"/>
        <v>19-40</v>
      </c>
      <c r="D698" t="s">
        <v>13</v>
      </c>
      <c r="E698" t="s">
        <v>14</v>
      </c>
      <c r="F698" t="s">
        <v>20</v>
      </c>
      <c r="G698" t="s">
        <v>27</v>
      </c>
      <c r="H698">
        <v>16</v>
      </c>
      <c r="I698">
        <v>2731</v>
      </c>
      <c r="J698" t="s">
        <v>28</v>
      </c>
      <c r="K698" t="s">
        <v>8</v>
      </c>
      <c r="L698" t="s">
        <v>34</v>
      </c>
      <c r="M698">
        <v>1</v>
      </c>
    </row>
    <row r="699" spans="1:13" x14ac:dyDescent="0.3">
      <c r="A699">
        <v>100698</v>
      </c>
      <c r="B699">
        <v>49</v>
      </c>
      <c r="C699" t="str">
        <f t="shared" si="10"/>
        <v>41-60</v>
      </c>
      <c r="D699" t="s">
        <v>12</v>
      </c>
      <c r="E699" t="s">
        <v>17</v>
      </c>
      <c r="F699" t="s">
        <v>23</v>
      </c>
      <c r="G699" t="s">
        <v>25</v>
      </c>
      <c r="H699">
        <v>6</v>
      </c>
      <c r="I699">
        <v>134201</v>
      </c>
      <c r="J699" t="s">
        <v>29</v>
      </c>
      <c r="K699" t="s">
        <v>8</v>
      </c>
      <c r="L699" t="s">
        <v>35</v>
      </c>
      <c r="M699">
        <v>5</v>
      </c>
    </row>
    <row r="700" spans="1:13" x14ac:dyDescent="0.3">
      <c r="A700">
        <v>100699</v>
      </c>
      <c r="B700">
        <v>77</v>
      </c>
      <c r="C700" t="str">
        <f t="shared" si="10"/>
        <v>60+</v>
      </c>
      <c r="D700" t="s">
        <v>12</v>
      </c>
      <c r="E700" t="s">
        <v>14</v>
      </c>
      <c r="F700" t="s">
        <v>24</v>
      </c>
      <c r="G700" t="s">
        <v>27</v>
      </c>
      <c r="H700">
        <v>12</v>
      </c>
      <c r="I700">
        <v>161094</v>
      </c>
      <c r="J700" t="s">
        <v>29</v>
      </c>
      <c r="K700" t="s">
        <v>8</v>
      </c>
      <c r="L700" t="s">
        <v>33</v>
      </c>
      <c r="M700">
        <v>4</v>
      </c>
    </row>
    <row r="701" spans="1:13" x14ac:dyDescent="0.3">
      <c r="A701">
        <v>100700</v>
      </c>
      <c r="B701">
        <v>33</v>
      </c>
      <c r="C701" t="str">
        <f t="shared" si="10"/>
        <v>19-40</v>
      </c>
      <c r="D701" t="s">
        <v>13</v>
      </c>
      <c r="E701" t="s">
        <v>15</v>
      </c>
      <c r="F701" t="s">
        <v>20</v>
      </c>
      <c r="G701" t="s">
        <v>26</v>
      </c>
      <c r="H701">
        <v>11</v>
      </c>
      <c r="I701">
        <v>3605</v>
      </c>
      <c r="J701" t="s">
        <v>29</v>
      </c>
      <c r="K701" t="s">
        <v>8</v>
      </c>
      <c r="L701" t="s">
        <v>34</v>
      </c>
      <c r="M701">
        <v>1</v>
      </c>
    </row>
    <row r="702" spans="1:13" x14ac:dyDescent="0.3">
      <c r="A702">
        <v>100701</v>
      </c>
      <c r="B702">
        <v>1</v>
      </c>
      <c r="C702" t="str">
        <f t="shared" si="10"/>
        <v>0-18</v>
      </c>
      <c r="D702" t="s">
        <v>12</v>
      </c>
      <c r="E702" t="s">
        <v>15</v>
      </c>
      <c r="F702" t="s">
        <v>22</v>
      </c>
      <c r="G702" t="s">
        <v>26</v>
      </c>
      <c r="H702">
        <v>15</v>
      </c>
      <c r="I702">
        <v>79506</v>
      </c>
      <c r="J702" t="s">
        <v>28</v>
      </c>
      <c r="K702" t="s">
        <v>8</v>
      </c>
      <c r="L702" t="s">
        <v>33</v>
      </c>
      <c r="M702">
        <v>1</v>
      </c>
    </row>
    <row r="703" spans="1:13" x14ac:dyDescent="0.3">
      <c r="A703">
        <v>100702</v>
      </c>
      <c r="B703">
        <v>21</v>
      </c>
      <c r="C703" t="str">
        <f t="shared" si="10"/>
        <v>19-40</v>
      </c>
      <c r="D703" t="s">
        <v>12</v>
      </c>
      <c r="E703" t="s">
        <v>18</v>
      </c>
      <c r="F703" t="s">
        <v>23</v>
      </c>
      <c r="G703" t="s">
        <v>27</v>
      </c>
      <c r="H703">
        <v>15</v>
      </c>
      <c r="I703">
        <v>242313</v>
      </c>
      <c r="J703" t="s">
        <v>28</v>
      </c>
      <c r="K703" t="s">
        <v>8</v>
      </c>
      <c r="L703" t="s">
        <v>35</v>
      </c>
      <c r="M703">
        <v>5</v>
      </c>
    </row>
    <row r="704" spans="1:13" x14ac:dyDescent="0.3">
      <c r="A704">
        <v>100703</v>
      </c>
      <c r="B704">
        <v>55</v>
      </c>
      <c r="C704" t="str">
        <f t="shared" si="10"/>
        <v>41-60</v>
      </c>
      <c r="D704" t="s">
        <v>13</v>
      </c>
      <c r="E704" t="s">
        <v>15</v>
      </c>
      <c r="F704" t="s">
        <v>21</v>
      </c>
      <c r="G704" t="s">
        <v>27</v>
      </c>
      <c r="H704">
        <v>16</v>
      </c>
      <c r="I704">
        <v>46130</v>
      </c>
      <c r="J704" t="s">
        <v>29</v>
      </c>
      <c r="K704" t="s">
        <v>31</v>
      </c>
      <c r="L704" t="s">
        <v>32</v>
      </c>
      <c r="M704">
        <v>3</v>
      </c>
    </row>
    <row r="705" spans="1:13" x14ac:dyDescent="0.3">
      <c r="A705">
        <v>100704</v>
      </c>
      <c r="B705">
        <v>6</v>
      </c>
      <c r="C705" t="str">
        <f t="shared" si="10"/>
        <v>0-18</v>
      </c>
      <c r="D705" t="s">
        <v>13</v>
      </c>
      <c r="E705" t="s">
        <v>18</v>
      </c>
      <c r="F705" t="s">
        <v>23</v>
      </c>
      <c r="G705" t="s">
        <v>27</v>
      </c>
      <c r="H705">
        <v>10</v>
      </c>
      <c r="I705">
        <v>162337</v>
      </c>
      <c r="J705" t="s">
        <v>29</v>
      </c>
      <c r="K705" t="s">
        <v>30</v>
      </c>
      <c r="L705" t="s">
        <v>32</v>
      </c>
      <c r="M705">
        <v>2</v>
      </c>
    </row>
    <row r="706" spans="1:13" x14ac:dyDescent="0.3">
      <c r="A706">
        <v>100705</v>
      </c>
      <c r="B706">
        <v>81</v>
      </c>
      <c r="C706" t="str">
        <f t="shared" ref="C706:C769" si="11">IF(B706&lt;=18,"0-18",IF(B706&lt;=40,"19-40",IF(B706&lt;=60,"41-60","60+")))</f>
        <v>60+</v>
      </c>
      <c r="D706" t="s">
        <v>12</v>
      </c>
      <c r="E706" t="s">
        <v>19</v>
      </c>
      <c r="F706" t="s">
        <v>21</v>
      </c>
      <c r="G706" t="s">
        <v>26</v>
      </c>
      <c r="H706">
        <v>12</v>
      </c>
      <c r="I706">
        <v>165402</v>
      </c>
      <c r="J706" t="s">
        <v>28</v>
      </c>
      <c r="K706" t="s">
        <v>31</v>
      </c>
      <c r="L706" t="s">
        <v>32</v>
      </c>
      <c r="M706">
        <v>1</v>
      </c>
    </row>
    <row r="707" spans="1:13" x14ac:dyDescent="0.3">
      <c r="A707">
        <v>100706</v>
      </c>
      <c r="B707">
        <v>69</v>
      </c>
      <c r="C707" t="str">
        <f t="shared" si="11"/>
        <v>60+</v>
      </c>
      <c r="D707" t="s">
        <v>13</v>
      </c>
      <c r="E707" t="s">
        <v>14</v>
      </c>
      <c r="F707" t="s">
        <v>24</v>
      </c>
      <c r="G707" t="s">
        <v>25</v>
      </c>
      <c r="H707">
        <v>13</v>
      </c>
      <c r="I707">
        <v>70469</v>
      </c>
      <c r="J707" t="s">
        <v>29</v>
      </c>
      <c r="K707" t="s">
        <v>31</v>
      </c>
      <c r="L707" t="s">
        <v>32</v>
      </c>
      <c r="M707">
        <v>3</v>
      </c>
    </row>
    <row r="708" spans="1:13" x14ac:dyDescent="0.3">
      <c r="A708">
        <v>100707</v>
      </c>
      <c r="B708">
        <v>5</v>
      </c>
      <c r="C708" t="str">
        <f t="shared" si="11"/>
        <v>0-18</v>
      </c>
      <c r="D708" t="s">
        <v>13</v>
      </c>
      <c r="E708" t="s">
        <v>19</v>
      </c>
      <c r="F708" t="s">
        <v>21</v>
      </c>
      <c r="G708" t="s">
        <v>26</v>
      </c>
      <c r="H708">
        <v>4</v>
      </c>
      <c r="I708">
        <v>148259</v>
      </c>
      <c r="J708" t="s">
        <v>28</v>
      </c>
      <c r="K708" t="s">
        <v>8</v>
      </c>
      <c r="L708" t="s">
        <v>33</v>
      </c>
      <c r="M708">
        <v>4</v>
      </c>
    </row>
    <row r="709" spans="1:13" x14ac:dyDescent="0.3">
      <c r="A709">
        <v>100708</v>
      </c>
      <c r="B709">
        <v>3</v>
      </c>
      <c r="C709" t="str">
        <f t="shared" si="11"/>
        <v>0-18</v>
      </c>
      <c r="D709" t="s">
        <v>13</v>
      </c>
      <c r="E709" t="s">
        <v>15</v>
      </c>
      <c r="F709" t="s">
        <v>24</v>
      </c>
      <c r="G709" t="s">
        <v>27</v>
      </c>
      <c r="H709">
        <v>7</v>
      </c>
      <c r="I709">
        <v>158863</v>
      </c>
      <c r="J709" t="s">
        <v>28</v>
      </c>
      <c r="K709" t="s">
        <v>30</v>
      </c>
      <c r="L709" t="s">
        <v>32</v>
      </c>
      <c r="M709">
        <v>3</v>
      </c>
    </row>
    <row r="710" spans="1:13" x14ac:dyDescent="0.3">
      <c r="A710">
        <v>100709</v>
      </c>
      <c r="B710">
        <v>53</v>
      </c>
      <c r="C710" t="str">
        <f t="shared" si="11"/>
        <v>41-60</v>
      </c>
      <c r="D710" t="s">
        <v>12</v>
      </c>
      <c r="E710" t="s">
        <v>19</v>
      </c>
      <c r="F710" t="s">
        <v>22</v>
      </c>
      <c r="G710" t="s">
        <v>27</v>
      </c>
      <c r="H710">
        <v>2</v>
      </c>
      <c r="I710">
        <v>92436</v>
      </c>
      <c r="J710" t="s">
        <v>28</v>
      </c>
      <c r="K710" t="s">
        <v>31</v>
      </c>
      <c r="L710" t="s">
        <v>33</v>
      </c>
      <c r="M710">
        <v>5</v>
      </c>
    </row>
    <row r="711" spans="1:13" x14ac:dyDescent="0.3">
      <c r="A711">
        <v>100710</v>
      </c>
      <c r="B711">
        <v>23</v>
      </c>
      <c r="C711" t="str">
        <f t="shared" si="11"/>
        <v>19-40</v>
      </c>
      <c r="D711" t="s">
        <v>12</v>
      </c>
      <c r="E711" t="s">
        <v>19</v>
      </c>
      <c r="F711" t="s">
        <v>21</v>
      </c>
      <c r="G711" t="s">
        <v>26</v>
      </c>
      <c r="H711">
        <v>15</v>
      </c>
      <c r="I711">
        <v>203682</v>
      </c>
      <c r="J711" t="s">
        <v>28</v>
      </c>
      <c r="K711" t="s">
        <v>8</v>
      </c>
      <c r="L711" t="s">
        <v>34</v>
      </c>
      <c r="M711">
        <v>4</v>
      </c>
    </row>
    <row r="712" spans="1:13" x14ac:dyDescent="0.3">
      <c r="A712">
        <v>100711</v>
      </c>
      <c r="B712">
        <v>53</v>
      </c>
      <c r="C712" t="str">
        <f t="shared" si="11"/>
        <v>41-60</v>
      </c>
      <c r="D712" t="s">
        <v>13</v>
      </c>
      <c r="E712" t="s">
        <v>19</v>
      </c>
      <c r="F712" t="s">
        <v>23</v>
      </c>
      <c r="G712" t="s">
        <v>27</v>
      </c>
      <c r="H712">
        <v>8</v>
      </c>
      <c r="I712">
        <v>114341</v>
      </c>
      <c r="J712" t="s">
        <v>28</v>
      </c>
      <c r="K712" t="s">
        <v>8</v>
      </c>
      <c r="L712" t="s">
        <v>32</v>
      </c>
      <c r="M712">
        <v>4</v>
      </c>
    </row>
    <row r="713" spans="1:13" x14ac:dyDescent="0.3">
      <c r="A713">
        <v>100712</v>
      </c>
      <c r="B713">
        <v>37</v>
      </c>
      <c r="C713" t="str">
        <f t="shared" si="11"/>
        <v>19-40</v>
      </c>
      <c r="D713" t="s">
        <v>12</v>
      </c>
      <c r="E713" t="s">
        <v>15</v>
      </c>
      <c r="F713" t="s">
        <v>24</v>
      </c>
      <c r="G713" t="s">
        <v>26</v>
      </c>
      <c r="H713">
        <v>7</v>
      </c>
      <c r="I713">
        <v>225034</v>
      </c>
      <c r="J713" t="s">
        <v>28</v>
      </c>
      <c r="K713" t="s">
        <v>30</v>
      </c>
      <c r="L713" t="s">
        <v>33</v>
      </c>
      <c r="M713">
        <v>3</v>
      </c>
    </row>
    <row r="714" spans="1:13" x14ac:dyDescent="0.3">
      <c r="A714">
        <v>100713</v>
      </c>
      <c r="B714">
        <v>74</v>
      </c>
      <c r="C714" t="str">
        <f t="shared" si="11"/>
        <v>60+</v>
      </c>
      <c r="D714" t="s">
        <v>13</v>
      </c>
      <c r="E714" t="s">
        <v>17</v>
      </c>
      <c r="F714" t="s">
        <v>23</v>
      </c>
      <c r="G714" t="s">
        <v>27</v>
      </c>
      <c r="H714">
        <v>15</v>
      </c>
      <c r="I714">
        <v>172939</v>
      </c>
      <c r="J714" t="s">
        <v>29</v>
      </c>
      <c r="K714" t="s">
        <v>31</v>
      </c>
      <c r="L714" t="s">
        <v>32</v>
      </c>
      <c r="M714">
        <v>5</v>
      </c>
    </row>
    <row r="715" spans="1:13" x14ac:dyDescent="0.3">
      <c r="A715">
        <v>100714</v>
      </c>
      <c r="B715">
        <v>74</v>
      </c>
      <c r="C715" t="str">
        <f t="shared" si="11"/>
        <v>60+</v>
      </c>
      <c r="D715" t="s">
        <v>12</v>
      </c>
      <c r="E715" t="s">
        <v>19</v>
      </c>
      <c r="F715" t="s">
        <v>20</v>
      </c>
      <c r="G715" t="s">
        <v>25</v>
      </c>
      <c r="H715">
        <v>14</v>
      </c>
      <c r="I715">
        <v>249250</v>
      </c>
      <c r="J715" t="s">
        <v>28</v>
      </c>
      <c r="K715" t="s">
        <v>31</v>
      </c>
      <c r="L715" t="s">
        <v>32</v>
      </c>
      <c r="M715">
        <v>1</v>
      </c>
    </row>
    <row r="716" spans="1:13" x14ac:dyDescent="0.3">
      <c r="A716">
        <v>100715</v>
      </c>
      <c r="B716">
        <v>83</v>
      </c>
      <c r="C716" t="str">
        <f t="shared" si="11"/>
        <v>60+</v>
      </c>
      <c r="D716" t="s">
        <v>13</v>
      </c>
      <c r="E716" t="s">
        <v>18</v>
      </c>
      <c r="F716" t="s">
        <v>24</v>
      </c>
      <c r="G716" t="s">
        <v>25</v>
      </c>
      <c r="H716">
        <v>8</v>
      </c>
      <c r="I716">
        <v>133965</v>
      </c>
      <c r="J716" t="s">
        <v>28</v>
      </c>
      <c r="K716" t="s">
        <v>31</v>
      </c>
      <c r="L716" t="s">
        <v>32</v>
      </c>
      <c r="M716">
        <v>3</v>
      </c>
    </row>
    <row r="717" spans="1:13" x14ac:dyDescent="0.3">
      <c r="A717">
        <v>100716</v>
      </c>
      <c r="B717">
        <v>17</v>
      </c>
      <c r="C717" t="str">
        <f t="shared" si="11"/>
        <v>0-18</v>
      </c>
      <c r="D717" t="s">
        <v>13</v>
      </c>
      <c r="E717" t="s">
        <v>15</v>
      </c>
      <c r="F717" t="s">
        <v>21</v>
      </c>
      <c r="G717" t="s">
        <v>27</v>
      </c>
      <c r="H717">
        <v>12</v>
      </c>
      <c r="I717">
        <v>101694</v>
      </c>
      <c r="J717" t="s">
        <v>29</v>
      </c>
      <c r="K717" t="s">
        <v>8</v>
      </c>
      <c r="L717" t="s">
        <v>33</v>
      </c>
      <c r="M717">
        <v>1</v>
      </c>
    </row>
    <row r="718" spans="1:13" x14ac:dyDescent="0.3">
      <c r="A718">
        <v>100717</v>
      </c>
      <c r="B718">
        <v>85</v>
      </c>
      <c r="C718" t="str">
        <f t="shared" si="11"/>
        <v>60+</v>
      </c>
      <c r="D718" t="s">
        <v>12</v>
      </c>
      <c r="E718" t="s">
        <v>19</v>
      </c>
      <c r="F718" t="s">
        <v>24</v>
      </c>
      <c r="G718" t="s">
        <v>26</v>
      </c>
      <c r="H718">
        <v>13</v>
      </c>
      <c r="I718">
        <v>21773</v>
      </c>
      <c r="J718" t="s">
        <v>28</v>
      </c>
      <c r="K718" t="s">
        <v>30</v>
      </c>
      <c r="L718" t="s">
        <v>35</v>
      </c>
      <c r="M718">
        <v>3</v>
      </c>
    </row>
    <row r="719" spans="1:13" x14ac:dyDescent="0.3">
      <c r="A719">
        <v>100718</v>
      </c>
      <c r="B719">
        <v>78</v>
      </c>
      <c r="C719" t="str">
        <f t="shared" si="11"/>
        <v>60+</v>
      </c>
      <c r="D719" t="s">
        <v>13</v>
      </c>
      <c r="E719" t="s">
        <v>17</v>
      </c>
      <c r="F719" t="s">
        <v>23</v>
      </c>
      <c r="G719" t="s">
        <v>25</v>
      </c>
      <c r="H719">
        <v>11</v>
      </c>
      <c r="I719">
        <v>6239</v>
      </c>
      <c r="J719" t="s">
        <v>29</v>
      </c>
      <c r="K719" t="s">
        <v>30</v>
      </c>
      <c r="L719" t="s">
        <v>32</v>
      </c>
      <c r="M719">
        <v>1</v>
      </c>
    </row>
    <row r="720" spans="1:13" x14ac:dyDescent="0.3">
      <c r="A720">
        <v>100719</v>
      </c>
      <c r="B720">
        <v>73</v>
      </c>
      <c r="C720" t="str">
        <f t="shared" si="11"/>
        <v>60+</v>
      </c>
      <c r="D720" t="s">
        <v>12</v>
      </c>
      <c r="E720" t="s">
        <v>15</v>
      </c>
      <c r="F720" t="s">
        <v>22</v>
      </c>
      <c r="G720" t="s">
        <v>26</v>
      </c>
      <c r="H720">
        <v>17</v>
      </c>
      <c r="I720">
        <v>22863</v>
      </c>
      <c r="J720" t="s">
        <v>28</v>
      </c>
      <c r="K720" t="s">
        <v>31</v>
      </c>
      <c r="L720" t="s">
        <v>32</v>
      </c>
      <c r="M720">
        <v>3</v>
      </c>
    </row>
    <row r="721" spans="1:13" x14ac:dyDescent="0.3">
      <c r="A721">
        <v>100720</v>
      </c>
      <c r="B721">
        <v>1</v>
      </c>
      <c r="C721" t="str">
        <f t="shared" si="11"/>
        <v>0-18</v>
      </c>
      <c r="D721" t="s">
        <v>12</v>
      </c>
      <c r="E721" t="s">
        <v>16</v>
      </c>
      <c r="F721" t="s">
        <v>24</v>
      </c>
      <c r="G721" t="s">
        <v>27</v>
      </c>
      <c r="H721">
        <v>17</v>
      </c>
      <c r="I721">
        <v>53415</v>
      </c>
      <c r="J721" t="s">
        <v>29</v>
      </c>
      <c r="K721" t="s">
        <v>8</v>
      </c>
      <c r="L721" t="s">
        <v>34</v>
      </c>
      <c r="M721">
        <v>4</v>
      </c>
    </row>
    <row r="722" spans="1:13" x14ac:dyDescent="0.3">
      <c r="A722">
        <v>100721</v>
      </c>
      <c r="B722">
        <v>51</v>
      </c>
      <c r="C722" t="str">
        <f t="shared" si="11"/>
        <v>41-60</v>
      </c>
      <c r="D722" t="s">
        <v>13</v>
      </c>
      <c r="E722" t="s">
        <v>17</v>
      </c>
      <c r="F722" t="s">
        <v>21</v>
      </c>
      <c r="G722" t="s">
        <v>26</v>
      </c>
      <c r="H722">
        <v>4</v>
      </c>
      <c r="I722">
        <v>70968</v>
      </c>
      <c r="J722" t="s">
        <v>29</v>
      </c>
      <c r="K722" t="s">
        <v>31</v>
      </c>
      <c r="L722" t="s">
        <v>35</v>
      </c>
      <c r="M722">
        <v>2</v>
      </c>
    </row>
    <row r="723" spans="1:13" x14ac:dyDescent="0.3">
      <c r="A723">
        <v>100722</v>
      </c>
      <c r="B723">
        <v>45</v>
      </c>
      <c r="C723" t="str">
        <f t="shared" si="11"/>
        <v>41-60</v>
      </c>
      <c r="D723" t="s">
        <v>13</v>
      </c>
      <c r="E723" t="s">
        <v>18</v>
      </c>
      <c r="F723" t="s">
        <v>20</v>
      </c>
      <c r="G723" t="s">
        <v>25</v>
      </c>
      <c r="H723">
        <v>8</v>
      </c>
      <c r="I723">
        <v>233747</v>
      </c>
      <c r="J723" t="s">
        <v>28</v>
      </c>
      <c r="K723" t="s">
        <v>30</v>
      </c>
      <c r="L723" t="s">
        <v>33</v>
      </c>
      <c r="M723">
        <v>4</v>
      </c>
    </row>
    <row r="724" spans="1:13" x14ac:dyDescent="0.3">
      <c r="A724">
        <v>100723</v>
      </c>
      <c r="B724">
        <v>77</v>
      </c>
      <c r="C724" t="str">
        <f t="shared" si="11"/>
        <v>60+</v>
      </c>
      <c r="D724" t="s">
        <v>12</v>
      </c>
      <c r="E724" t="s">
        <v>19</v>
      </c>
      <c r="F724" t="s">
        <v>22</v>
      </c>
      <c r="G724" t="s">
        <v>26</v>
      </c>
      <c r="H724">
        <v>5</v>
      </c>
      <c r="I724">
        <v>62430</v>
      </c>
      <c r="J724" t="s">
        <v>28</v>
      </c>
      <c r="K724" t="s">
        <v>8</v>
      </c>
      <c r="L724" t="s">
        <v>34</v>
      </c>
      <c r="M724">
        <v>1</v>
      </c>
    </row>
    <row r="725" spans="1:13" x14ac:dyDescent="0.3">
      <c r="A725">
        <v>100724</v>
      </c>
      <c r="B725">
        <v>4</v>
      </c>
      <c r="C725" t="str">
        <f t="shared" si="11"/>
        <v>0-18</v>
      </c>
      <c r="D725" t="s">
        <v>13</v>
      </c>
      <c r="E725" t="s">
        <v>16</v>
      </c>
      <c r="F725" t="s">
        <v>20</v>
      </c>
      <c r="G725" t="s">
        <v>26</v>
      </c>
      <c r="H725">
        <v>16</v>
      </c>
      <c r="I725">
        <v>3515</v>
      </c>
      <c r="J725" t="s">
        <v>28</v>
      </c>
      <c r="K725" t="s">
        <v>31</v>
      </c>
      <c r="L725" t="s">
        <v>32</v>
      </c>
      <c r="M725">
        <v>5</v>
      </c>
    </row>
    <row r="726" spans="1:13" x14ac:dyDescent="0.3">
      <c r="A726">
        <v>100725</v>
      </c>
      <c r="B726">
        <v>62</v>
      </c>
      <c r="C726" t="str">
        <f t="shared" si="11"/>
        <v>60+</v>
      </c>
      <c r="D726" t="s">
        <v>13</v>
      </c>
      <c r="E726" t="s">
        <v>16</v>
      </c>
      <c r="F726" t="s">
        <v>24</v>
      </c>
      <c r="G726" t="s">
        <v>27</v>
      </c>
      <c r="H726">
        <v>4</v>
      </c>
      <c r="I726">
        <v>99206</v>
      </c>
      <c r="J726" t="s">
        <v>28</v>
      </c>
      <c r="K726" t="s">
        <v>31</v>
      </c>
      <c r="L726" t="s">
        <v>34</v>
      </c>
      <c r="M726">
        <v>4</v>
      </c>
    </row>
    <row r="727" spans="1:13" x14ac:dyDescent="0.3">
      <c r="A727">
        <v>100726</v>
      </c>
      <c r="B727">
        <v>65</v>
      </c>
      <c r="C727" t="str">
        <f t="shared" si="11"/>
        <v>60+</v>
      </c>
      <c r="D727" t="s">
        <v>13</v>
      </c>
      <c r="E727" t="s">
        <v>15</v>
      </c>
      <c r="F727" t="s">
        <v>23</v>
      </c>
      <c r="G727" t="s">
        <v>27</v>
      </c>
      <c r="H727">
        <v>15</v>
      </c>
      <c r="I727">
        <v>247282</v>
      </c>
      <c r="J727" t="s">
        <v>29</v>
      </c>
      <c r="K727" t="s">
        <v>8</v>
      </c>
      <c r="L727" t="s">
        <v>34</v>
      </c>
      <c r="M727">
        <v>2</v>
      </c>
    </row>
    <row r="728" spans="1:13" x14ac:dyDescent="0.3">
      <c r="A728">
        <v>100727</v>
      </c>
      <c r="B728">
        <v>32</v>
      </c>
      <c r="C728" t="str">
        <f t="shared" si="11"/>
        <v>19-40</v>
      </c>
      <c r="D728" t="s">
        <v>13</v>
      </c>
      <c r="E728" t="s">
        <v>16</v>
      </c>
      <c r="F728" t="s">
        <v>23</v>
      </c>
      <c r="G728" t="s">
        <v>27</v>
      </c>
      <c r="H728">
        <v>12</v>
      </c>
      <c r="I728">
        <v>237702</v>
      </c>
      <c r="J728" t="s">
        <v>29</v>
      </c>
      <c r="K728" t="s">
        <v>30</v>
      </c>
      <c r="L728" t="s">
        <v>32</v>
      </c>
      <c r="M728">
        <v>1</v>
      </c>
    </row>
    <row r="729" spans="1:13" x14ac:dyDescent="0.3">
      <c r="A729">
        <v>100728</v>
      </c>
      <c r="B729">
        <v>34</v>
      </c>
      <c r="C729" t="str">
        <f t="shared" si="11"/>
        <v>19-40</v>
      </c>
      <c r="D729" t="s">
        <v>13</v>
      </c>
      <c r="E729" t="s">
        <v>18</v>
      </c>
      <c r="F729" t="s">
        <v>21</v>
      </c>
      <c r="G729" t="s">
        <v>25</v>
      </c>
      <c r="H729">
        <v>5</v>
      </c>
      <c r="I729">
        <v>147677</v>
      </c>
      <c r="J729" t="s">
        <v>29</v>
      </c>
      <c r="K729" t="s">
        <v>8</v>
      </c>
      <c r="L729" t="s">
        <v>35</v>
      </c>
      <c r="M729">
        <v>4</v>
      </c>
    </row>
    <row r="730" spans="1:13" x14ac:dyDescent="0.3">
      <c r="A730">
        <v>100729</v>
      </c>
      <c r="B730">
        <v>72</v>
      </c>
      <c r="C730" t="str">
        <f t="shared" si="11"/>
        <v>60+</v>
      </c>
      <c r="D730" t="s">
        <v>12</v>
      </c>
      <c r="E730" t="s">
        <v>18</v>
      </c>
      <c r="F730" t="s">
        <v>23</v>
      </c>
      <c r="G730" t="s">
        <v>25</v>
      </c>
      <c r="H730">
        <v>16</v>
      </c>
      <c r="I730">
        <v>58240</v>
      </c>
      <c r="J730" t="s">
        <v>28</v>
      </c>
      <c r="K730" t="s">
        <v>31</v>
      </c>
      <c r="L730" t="s">
        <v>35</v>
      </c>
      <c r="M730">
        <v>3</v>
      </c>
    </row>
    <row r="731" spans="1:13" x14ac:dyDescent="0.3">
      <c r="A731">
        <v>100730</v>
      </c>
      <c r="B731">
        <v>39</v>
      </c>
      <c r="C731" t="str">
        <f t="shared" si="11"/>
        <v>19-40</v>
      </c>
      <c r="D731" t="s">
        <v>12</v>
      </c>
      <c r="E731" t="s">
        <v>14</v>
      </c>
      <c r="F731" t="s">
        <v>22</v>
      </c>
      <c r="G731" t="s">
        <v>27</v>
      </c>
      <c r="H731">
        <v>14</v>
      </c>
      <c r="I731">
        <v>7586</v>
      </c>
      <c r="J731" t="s">
        <v>29</v>
      </c>
      <c r="K731" t="s">
        <v>31</v>
      </c>
      <c r="L731" t="s">
        <v>34</v>
      </c>
      <c r="M731">
        <v>5</v>
      </c>
    </row>
    <row r="732" spans="1:13" x14ac:dyDescent="0.3">
      <c r="A732">
        <v>100731</v>
      </c>
      <c r="B732">
        <v>26</v>
      </c>
      <c r="C732" t="str">
        <f t="shared" si="11"/>
        <v>19-40</v>
      </c>
      <c r="D732" t="s">
        <v>13</v>
      </c>
      <c r="E732" t="s">
        <v>18</v>
      </c>
      <c r="F732" t="s">
        <v>23</v>
      </c>
      <c r="G732" t="s">
        <v>27</v>
      </c>
      <c r="H732">
        <v>10</v>
      </c>
      <c r="I732">
        <v>234293</v>
      </c>
      <c r="J732" t="s">
        <v>28</v>
      </c>
      <c r="K732" t="s">
        <v>31</v>
      </c>
      <c r="L732" t="s">
        <v>32</v>
      </c>
      <c r="M732">
        <v>1</v>
      </c>
    </row>
    <row r="733" spans="1:13" x14ac:dyDescent="0.3">
      <c r="A733">
        <v>100732</v>
      </c>
      <c r="B733">
        <v>34</v>
      </c>
      <c r="C733" t="str">
        <f t="shared" si="11"/>
        <v>19-40</v>
      </c>
      <c r="D733" t="s">
        <v>13</v>
      </c>
      <c r="E733" t="s">
        <v>17</v>
      </c>
      <c r="F733" t="s">
        <v>21</v>
      </c>
      <c r="G733" t="s">
        <v>25</v>
      </c>
      <c r="H733">
        <v>7</v>
      </c>
      <c r="I733">
        <v>122419</v>
      </c>
      <c r="J733" t="s">
        <v>28</v>
      </c>
      <c r="K733" t="s">
        <v>31</v>
      </c>
      <c r="L733" t="s">
        <v>33</v>
      </c>
      <c r="M733">
        <v>4</v>
      </c>
    </row>
    <row r="734" spans="1:13" x14ac:dyDescent="0.3">
      <c r="A734">
        <v>100733</v>
      </c>
      <c r="B734">
        <v>54</v>
      </c>
      <c r="C734" t="str">
        <f t="shared" si="11"/>
        <v>41-60</v>
      </c>
      <c r="D734" t="s">
        <v>13</v>
      </c>
      <c r="E734" t="s">
        <v>16</v>
      </c>
      <c r="F734" t="s">
        <v>24</v>
      </c>
      <c r="G734" t="s">
        <v>25</v>
      </c>
      <c r="H734">
        <v>13</v>
      </c>
      <c r="I734">
        <v>124374</v>
      </c>
      <c r="J734" t="s">
        <v>29</v>
      </c>
      <c r="K734" t="s">
        <v>30</v>
      </c>
      <c r="L734" t="s">
        <v>34</v>
      </c>
      <c r="M734">
        <v>1</v>
      </c>
    </row>
    <row r="735" spans="1:13" x14ac:dyDescent="0.3">
      <c r="A735">
        <v>100734</v>
      </c>
      <c r="B735">
        <v>3</v>
      </c>
      <c r="C735" t="str">
        <f t="shared" si="11"/>
        <v>0-18</v>
      </c>
      <c r="D735" t="s">
        <v>12</v>
      </c>
      <c r="E735" t="s">
        <v>18</v>
      </c>
      <c r="F735" t="s">
        <v>24</v>
      </c>
      <c r="G735" t="s">
        <v>25</v>
      </c>
      <c r="H735">
        <v>5</v>
      </c>
      <c r="I735">
        <v>247277</v>
      </c>
      <c r="J735" t="s">
        <v>28</v>
      </c>
      <c r="K735" t="s">
        <v>30</v>
      </c>
      <c r="L735" t="s">
        <v>33</v>
      </c>
      <c r="M735">
        <v>3</v>
      </c>
    </row>
    <row r="736" spans="1:13" x14ac:dyDescent="0.3">
      <c r="A736">
        <v>100735</v>
      </c>
      <c r="B736">
        <v>50</v>
      </c>
      <c r="C736" t="str">
        <f t="shared" si="11"/>
        <v>41-60</v>
      </c>
      <c r="D736" t="s">
        <v>13</v>
      </c>
      <c r="E736" t="s">
        <v>15</v>
      </c>
      <c r="F736" t="s">
        <v>23</v>
      </c>
      <c r="G736" t="s">
        <v>25</v>
      </c>
      <c r="H736">
        <v>3</v>
      </c>
      <c r="I736">
        <v>33186</v>
      </c>
      <c r="J736" t="s">
        <v>29</v>
      </c>
      <c r="K736" t="s">
        <v>31</v>
      </c>
      <c r="L736" t="s">
        <v>34</v>
      </c>
      <c r="M736">
        <v>2</v>
      </c>
    </row>
    <row r="737" spans="1:13" x14ac:dyDescent="0.3">
      <c r="A737">
        <v>100736</v>
      </c>
      <c r="B737">
        <v>12</v>
      </c>
      <c r="C737" t="str">
        <f t="shared" si="11"/>
        <v>0-18</v>
      </c>
      <c r="D737" t="s">
        <v>12</v>
      </c>
      <c r="E737" t="s">
        <v>14</v>
      </c>
      <c r="F737" t="s">
        <v>20</v>
      </c>
      <c r="G737" t="s">
        <v>27</v>
      </c>
      <c r="H737">
        <v>15</v>
      </c>
      <c r="I737">
        <v>28928</v>
      </c>
      <c r="J737" t="s">
        <v>28</v>
      </c>
      <c r="K737" t="s">
        <v>30</v>
      </c>
      <c r="L737" t="s">
        <v>34</v>
      </c>
      <c r="M737">
        <v>4</v>
      </c>
    </row>
    <row r="738" spans="1:13" x14ac:dyDescent="0.3">
      <c r="A738">
        <v>100737</v>
      </c>
      <c r="B738">
        <v>65</v>
      </c>
      <c r="C738" t="str">
        <f t="shared" si="11"/>
        <v>60+</v>
      </c>
      <c r="D738" t="s">
        <v>12</v>
      </c>
      <c r="E738" t="s">
        <v>16</v>
      </c>
      <c r="F738" t="s">
        <v>24</v>
      </c>
      <c r="G738" t="s">
        <v>25</v>
      </c>
      <c r="H738">
        <v>4</v>
      </c>
      <c r="I738">
        <v>231336</v>
      </c>
      <c r="J738" t="s">
        <v>29</v>
      </c>
      <c r="K738" t="s">
        <v>30</v>
      </c>
      <c r="L738" t="s">
        <v>32</v>
      </c>
      <c r="M738">
        <v>1</v>
      </c>
    </row>
    <row r="739" spans="1:13" x14ac:dyDescent="0.3">
      <c r="A739">
        <v>100738</v>
      </c>
      <c r="B739">
        <v>54</v>
      </c>
      <c r="C739" t="str">
        <f t="shared" si="11"/>
        <v>41-60</v>
      </c>
      <c r="D739" t="s">
        <v>12</v>
      </c>
      <c r="E739" t="s">
        <v>14</v>
      </c>
      <c r="F739" t="s">
        <v>23</v>
      </c>
      <c r="G739" t="s">
        <v>27</v>
      </c>
      <c r="H739">
        <v>15</v>
      </c>
      <c r="I739">
        <v>216159</v>
      </c>
      <c r="J739" t="s">
        <v>28</v>
      </c>
      <c r="K739" t="s">
        <v>30</v>
      </c>
      <c r="L739" t="s">
        <v>32</v>
      </c>
      <c r="M739">
        <v>1</v>
      </c>
    </row>
    <row r="740" spans="1:13" x14ac:dyDescent="0.3">
      <c r="A740">
        <v>100739</v>
      </c>
      <c r="B740">
        <v>5</v>
      </c>
      <c r="C740" t="str">
        <f t="shared" si="11"/>
        <v>0-18</v>
      </c>
      <c r="D740" t="s">
        <v>13</v>
      </c>
      <c r="E740" t="s">
        <v>16</v>
      </c>
      <c r="F740" t="s">
        <v>21</v>
      </c>
      <c r="G740" t="s">
        <v>26</v>
      </c>
      <c r="H740">
        <v>14</v>
      </c>
      <c r="I740">
        <v>124990</v>
      </c>
      <c r="J740" t="s">
        <v>29</v>
      </c>
      <c r="K740" t="s">
        <v>31</v>
      </c>
      <c r="L740" t="s">
        <v>33</v>
      </c>
      <c r="M740">
        <v>1</v>
      </c>
    </row>
    <row r="741" spans="1:13" x14ac:dyDescent="0.3">
      <c r="A741">
        <v>100740</v>
      </c>
      <c r="B741">
        <v>57</v>
      </c>
      <c r="C741" t="str">
        <f t="shared" si="11"/>
        <v>41-60</v>
      </c>
      <c r="D741" t="s">
        <v>12</v>
      </c>
      <c r="E741" t="s">
        <v>15</v>
      </c>
      <c r="F741" t="s">
        <v>23</v>
      </c>
      <c r="G741" t="s">
        <v>26</v>
      </c>
      <c r="H741">
        <v>19</v>
      </c>
      <c r="I741">
        <v>89029</v>
      </c>
      <c r="J741" t="s">
        <v>29</v>
      </c>
      <c r="K741" t="s">
        <v>8</v>
      </c>
      <c r="L741" t="s">
        <v>33</v>
      </c>
      <c r="M741">
        <v>2</v>
      </c>
    </row>
    <row r="742" spans="1:13" x14ac:dyDescent="0.3">
      <c r="A742">
        <v>100741</v>
      </c>
      <c r="B742">
        <v>17</v>
      </c>
      <c r="C742" t="str">
        <f t="shared" si="11"/>
        <v>0-18</v>
      </c>
      <c r="D742" t="s">
        <v>13</v>
      </c>
      <c r="E742" t="s">
        <v>14</v>
      </c>
      <c r="F742" t="s">
        <v>24</v>
      </c>
      <c r="G742" t="s">
        <v>25</v>
      </c>
      <c r="H742">
        <v>13</v>
      </c>
      <c r="I742">
        <v>22711</v>
      </c>
      <c r="J742" t="s">
        <v>28</v>
      </c>
      <c r="K742" t="s">
        <v>8</v>
      </c>
      <c r="L742" t="s">
        <v>35</v>
      </c>
      <c r="M742">
        <v>1</v>
      </c>
    </row>
    <row r="743" spans="1:13" x14ac:dyDescent="0.3">
      <c r="A743">
        <v>100742</v>
      </c>
      <c r="B743">
        <v>47</v>
      </c>
      <c r="C743" t="str">
        <f t="shared" si="11"/>
        <v>41-60</v>
      </c>
      <c r="D743" t="s">
        <v>12</v>
      </c>
      <c r="E743" t="s">
        <v>19</v>
      </c>
      <c r="F743" t="s">
        <v>21</v>
      </c>
      <c r="G743" t="s">
        <v>26</v>
      </c>
      <c r="H743">
        <v>10</v>
      </c>
      <c r="I743">
        <v>56962</v>
      </c>
      <c r="J743" t="s">
        <v>28</v>
      </c>
      <c r="K743" t="s">
        <v>8</v>
      </c>
      <c r="L743" t="s">
        <v>32</v>
      </c>
      <c r="M743">
        <v>5</v>
      </c>
    </row>
    <row r="744" spans="1:13" x14ac:dyDescent="0.3">
      <c r="A744">
        <v>100743</v>
      </c>
      <c r="B744">
        <v>23</v>
      </c>
      <c r="C744" t="str">
        <f t="shared" si="11"/>
        <v>19-40</v>
      </c>
      <c r="D744" t="s">
        <v>13</v>
      </c>
      <c r="E744" t="s">
        <v>17</v>
      </c>
      <c r="F744" t="s">
        <v>23</v>
      </c>
      <c r="G744" t="s">
        <v>26</v>
      </c>
      <c r="H744">
        <v>5</v>
      </c>
      <c r="I744">
        <v>22039</v>
      </c>
      <c r="J744" t="s">
        <v>29</v>
      </c>
      <c r="K744" t="s">
        <v>31</v>
      </c>
      <c r="L744" t="s">
        <v>34</v>
      </c>
      <c r="M744">
        <v>5</v>
      </c>
    </row>
    <row r="745" spans="1:13" x14ac:dyDescent="0.3">
      <c r="A745">
        <v>100744</v>
      </c>
      <c r="B745">
        <v>79</v>
      </c>
      <c r="C745" t="str">
        <f t="shared" si="11"/>
        <v>60+</v>
      </c>
      <c r="D745" t="s">
        <v>12</v>
      </c>
      <c r="E745" t="s">
        <v>17</v>
      </c>
      <c r="F745" t="s">
        <v>22</v>
      </c>
      <c r="G745" t="s">
        <v>26</v>
      </c>
      <c r="H745">
        <v>6</v>
      </c>
      <c r="I745">
        <v>38561</v>
      </c>
      <c r="J745" t="s">
        <v>28</v>
      </c>
      <c r="K745" t="s">
        <v>30</v>
      </c>
      <c r="L745" t="s">
        <v>34</v>
      </c>
      <c r="M745">
        <v>1</v>
      </c>
    </row>
    <row r="746" spans="1:13" x14ac:dyDescent="0.3">
      <c r="A746">
        <v>100745</v>
      </c>
      <c r="B746">
        <v>85</v>
      </c>
      <c r="C746" t="str">
        <f t="shared" si="11"/>
        <v>60+</v>
      </c>
      <c r="D746" t="s">
        <v>13</v>
      </c>
      <c r="E746" t="s">
        <v>16</v>
      </c>
      <c r="F746" t="s">
        <v>21</v>
      </c>
      <c r="G746" t="s">
        <v>25</v>
      </c>
      <c r="H746">
        <v>4</v>
      </c>
      <c r="I746">
        <v>208555</v>
      </c>
      <c r="J746" t="s">
        <v>28</v>
      </c>
      <c r="K746" t="s">
        <v>30</v>
      </c>
      <c r="L746" t="s">
        <v>35</v>
      </c>
      <c r="M746">
        <v>5</v>
      </c>
    </row>
    <row r="747" spans="1:13" x14ac:dyDescent="0.3">
      <c r="A747">
        <v>100746</v>
      </c>
      <c r="B747">
        <v>14</v>
      </c>
      <c r="C747" t="str">
        <f t="shared" si="11"/>
        <v>0-18</v>
      </c>
      <c r="D747" t="s">
        <v>12</v>
      </c>
      <c r="E747" t="s">
        <v>19</v>
      </c>
      <c r="F747" t="s">
        <v>22</v>
      </c>
      <c r="G747" t="s">
        <v>25</v>
      </c>
      <c r="H747">
        <v>2</v>
      </c>
      <c r="I747">
        <v>230943</v>
      </c>
      <c r="J747" t="s">
        <v>28</v>
      </c>
      <c r="K747" t="s">
        <v>31</v>
      </c>
      <c r="L747" t="s">
        <v>32</v>
      </c>
      <c r="M747">
        <v>4</v>
      </c>
    </row>
    <row r="748" spans="1:13" x14ac:dyDescent="0.3">
      <c r="A748">
        <v>100747</v>
      </c>
      <c r="B748">
        <v>66</v>
      </c>
      <c r="C748" t="str">
        <f t="shared" si="11"/>
        <v>60+</v>
      </c>
      <c r="D748" t="s">
        <v>13</v>
      </c>
      <c r="E748" t="s">
        <v>14</v>
      </c>
      <c r="F748" t="s">
        <v>20</v>
      </c>
      <c r="G748" t="s">
        <v>26</v>
      </c>
      <c r="H748">
        <v>16</v>
      </c>
      <c r="I748">
        <v>214467</v>
      </c>
      <c r="J748" t="s">
        <v>29</v>
      </c>
      <c r="K748" t="s">
        <v>31</v>
      </c>
      <c r="L748" t="s">
        <v>34</v>
      </c>
      <c r="M748">
        <v>5</v>
      </c>
    </row>
    <row r="749" spans="1:13" x14ac:dyDescent="0.3">
      <c r="A749">
        <v>100748</v>
      </c>
      <c r="B749">
        <v>75</v>
      </c>
      <c r="C749" t="str">
        <f t="shared" si="11"/>
        <v>60+</v>
      </c>
      <c r="D749" t="s">
        <v>13</v>
      </c>
      <c r="E749" t="s">
        <v>19</v>
      </c>
      <c r="F749" t="s">
        <v>21</v>
      </c>
      <c r="G749" t="s">
        <v>27</v>
      </c>
      <c r="H749">
        <v>18</v>
      </c>
      <c r="I749">
        <v>221730</v>
      </c>
      <c r="J749" t="s">
        <v>29</v>
      </c>
      <c r="K749" t="s">
        <v>8</v>
      </c>
      <c r="L749" t="s">
        <v>35</v>
      </c>
      <c r="M749">
        <v>1</v>
      </c>
    </row>
    <row r="750" spans="1:13" x14ac:dyDescent="0.3">
      <c r="A750">
        <v>100749</v>
      </c>
      <c r="B750">
        <v>51</v>
      </c>
      <c r="C750" t="str">
        <f t="shared" si="11"/>
        <v>41-60</v>
      </c>
      <c r="D750" t="s">
        <v>13</v>
      </c>
      <c r="E750" t="s">
        <v>19</v>
      </c>
      <c r="F750" t="s">
        <v>22</v>
      </c>
      <c r="G750" t="s">
        <v>26</v>
      </c>
      <c r="H750">
        <v>5</v>
      </c>
      <c r="I750">
        <v>3577</v>
      </c>
      <c r="J750" t="s">
        <v>28</v>
      </c>
      <c r="K750" t="s">
        <v>8</v>
      </c>
      <c r="L750" t="s">
        <v>35</v>
      </c>
      <c r="M750">
        <v>3</v>
      </c>
    </row>
    <row r="751" spans="1:13" x14ac:dyDescent="0.3">
      <c r="A751">
        <v>100750</v>
      </c>
      <c r="B751">
        <v>38</v>
      </c>
      <c r="C751" t="str">
        <f t="shared" si="11"/>
        <v>19-40</v>
      </c>
      <c r="D751" t="s">
        <v>13</v>
      </c>
      <c r="E751" t="s">
        <v>14</v>
      </c>
      <c r="F751" t="s">
        <v>24</v>
      </c>
      <c r="G751" t="s">
        <v>25</v>
      </c>
      <c r="H751">
        <v>4</v>
      </c>
      <c r="I751">
        <v>109792</v>
      </c>
      <c r="J751" t="s">
        <v>28</v>
      </c>
      <c r="K751" t="s">
        <v>31</v>
      </c>
      <c r="L751" t="s">
        <v>34</v>
      </c>
      <c r="M751">
        <v>4</v>
      </c>
    </row>
    <row r="752" spans="1:13" x14ac:dyDescent="0.3">
      <c r="A752">
        <v>100751</v>
      </c>
      <c r="B752">
        <v>64</v>
      </c>
      <c r="C752" t="str">
        <f t="shared" si="11"/>
        <v>60+</v>
      </c>
      <c r="D752" t="s">
        <v>12</v>
      </c>
      <c r="E752" t="s">
        <v>15</v>
      </c>
      <c r="F752" t="s">
        <v>24</v>
      </c>
      <c r="G752" t="s">
        <v>25</v>
      </c>
      <c r="H752">
        <v>13</v>
      </c>
      <c r="I752">
        <v>161422</v>
      </c>
      <c r="J752" t="s">
        <v>29</v>
      </c>
      <c r="K752" t="s">
        <v>8</v>
      </c>
      <c r="L752" t="s">
        <v>34</v>
      </c>
      <c r="M752">
        <v>2</v>
      </c>
    </row>
    <row r="753" spans="1:13" x14ac:dyDescent="0.3">
      <c r="A753">
        <v>100752</v>
      </c>
      <c r="B753">
        <v>38</v>
      </c>
      <c r="C753" t="str">
        <f t="shared" si="11"/>
        <v>19-40</v>
      </c>
      <c r="D753" t="s">
        <v>12</v>
      </c>
      <c r="E753" t="s">
        <v>19</v>
      </c>
      <c r="F753" t="s">
        <v>20</v>
      </c>
      <c r="G753" t="s">
        <v>25</v>
      </c>
      <c r="H753">
        <v>19</v>
      </c>
      <c r="I753">
        <v>249980</v>
      </c>
      <c r="J753" t="s">
        <v>28</v>
      </c>
      <c r="K753" t="s">
        <v>30</v>
      </c>
      <c r="L753" t="s">
        <v>33</v>
      </c>
      <c r="M753">
        <v>1</v>
      </c>
    </row>
    <row r="754" spans="1:13" x14ac:dyDescent="0.3">
      <c r="A754">
        <v>100753</v>
      </c>
      <c r="B754">
        <v>50</v>
      </c>
      <c r="C754" t="str">
        <f t="shared" si="11"/>
        <v>41-60</v>
      </c>
      <c r="D754" t="s">
        <v>13</v>
      </c>
      <c r="E754" t="s">
        <v>19</v>
      </c>
      <c r="F754" t="s">
        <v>21</v>
      </c>
      <c r="G754" t="s">
        <v>26</v>
      </c>
      <c r="H754">
        <v>2</v>
      </c>
      <c r="I754">
        <v>240540</v>
      </c>
      <c r="J754" t="s">
        <v>29</v>
      </c>
      <c r="K754" t="s">
        <v>31</v>
      </c>
      <c r="L754" t="s">
        <v>32</v>
      </c>
      <c r="M754">
        <v>2</v>
      </c>
    </row>
    <row r="755" spans="1:13" x14ac:dyDescent="0.3">
      <c r="A755">
        <v>100754</v>
      </c>
      <c r="B755">
        <v>82</v>
      </c>
      <c r="C755" t="str">
        <f t="shared" si="11"/>
        <v>60+</v>
      </c>
      <c r="D755" t="s">
        <v>12</v>
      </c>
      <c r="E755" t="s">
        <v>15</v>
      </c>
      <c r="F755" t="s">
        <v>21</v>
      </c>
      <c r="G755" t="s">
        <v>27</v>
      </c>
      <c r="H755">
        <v>13</v>
      </c>
      <c r="I755">
        <v>166870</v>
      </c>
      <c r="J755" t="s">
        <v>28</v>
      </c>
      <c r="K755" t="s">
        <v>31</v>
      </c>
      <c r="L755" t="s">
        <v>33</v>
      </c>
      <c r="M755">
        <v>3</v>
      </c>
    </row>
    <row r="756" spans="1:13" x14ac:dyDescent="0.3">
      <c r="A756">
        <v>100755</v>
      </c>
      <c r="B756">
        <v>30</v>
      </c>
      <c r="C756" t="str">
        <f t="shared" si="11"/>
        <v>19-40</v>
      </c>
      <c r="D756" t="s">
        <v>13</v>
      </c>
      <c r="E756" t="s">
        <v>19</v>
      </c>
      <c r="F756" t="s">
        <v>21</v>
      </c>
      <c r="G756" t="s">
        <v>25</v>
      </c>
      <c r="H756">
        <v>11</v>
      </c>
      <c r="I756">
        <v>230506</v>
      </c>
      <c r="J756" t="s">
        <v>28</v>
      </c>
      <c r="K756" t="s">
        <v>30</v>
      </c>
      <c r="L756" t="s">
        <v>35</v>
      </c>
      <c r="M756">
        <v>2</v>
      </c>
    </row>
    <row r="757" spans="1:13" x14ac:dyDescent="0.3">
      <c r="A757">
        <v>100756</v>
      </c>
      <c r="B757">
        <v>79</v>
      </c>
      <c r="C757" t="str">
        <f t="shared" si="11"/>
        <v>60+</v>
      </c>
      <c r="D757" t="s">
        <v>13</v>
      </c>
      <c r="E757" t="s">
        <v>19</v>
      </c>
      <c r="F757" t="s">
        <v>20</v>
      </c>
      <c r="G757" t="s">
        <v>25</v>
      </c>
      <c r="H757">
        <v>4</v>
      </c>
      <c r="I757">
        <v>214489</v>
      </c>
      <c r="J757" t="s">
        <v>28</v>
      </c>
      <c r="K757" t="s">
        <v>30</v>
      </c>
      <c r="L757" t="s">
        <v>34</v>
      </c>
      <c r="M757">
        <v>1</v>
      </c>
    </row>
    <row r="758" spans="1:13" x14ac:dyDescent="0.3">
      <c r="A758">
        <v>100757</v>
      </c>
      <c r="B758">
        <v>51</v>
      </c>
      <c r="C758" t="str">
        <f t="shared" si="11"/>
        <v>41-60</v>
      </c>
      <c r="D758" t="s">
        <v>12</v>
      </c>
      <c r="E758" t="s">
        <v>19</v>
      </c>
      <c r="F758" t="s">
        <v>21</v>
      </c>
      <c r="G758" t="s">
        <v>26</v>
      </c>
      <c r="H758">
        <v>15</v>
      </c>
      <c r="I758">
        <v>12785</v>
      </c>
      <c r="J758" t="s">
        <v>29</v>
      </c>
      <c r="K758" t="s">
        <v>30</v>
      </c>
      <c r="L758" t="s">
        <v>33</v>
      </c>
      <c r="M758">
        <v>1</v>
      </c>
    </row>
    <row r="759" spans="1:13" x14ac:dyDescent="0.3">
      <c r="A759">
        <v>100758</v>
      </c>
      <c r="B759">
        <v>63</v>
      </c>
      <c r="C759" t="str">
        <f t="shared" si="11"/>
        <v>60+</v>
      </c>
      <c r="D759" t="s">
        <v>13</v>
      </c>
      <c r="E759" t="s">
        <v>17</v>
      </c>
      <c r="F759" t="s">
        <v>24</v>
      </c>
      <c r="G759" t="s">
        <v>27</v>
      </c>
      <c r="H759">
        <v>4</v>
      </c>
      <c r="I759">
        <v>74227</v>
      </c>
      <c r="J759" t="s">
        <v>29</v>
      </c>
      <c r="K759" t="s">
        <v>8</v>
      </c>
      <c r="L759" t="s">
        <v>35</v>
      </c>
      <c r="M759">
        <v>3</v>
      </c>
    </row>
    <row r="760" spans="1:13" x14ac:dyDescent="0.3">
      <c r="A760">
        <v>100759</v>
      </c>
      <c r="B760">
        <v>52</v>
      </c>
      <c r="C760" t="str">
        <f t="shared" si="11"/>
        <v>41-60</v>
      </c>
      <c r="D760" t="s">
        <v>13</v>
      </c>
      <c r="E760" t="s">
        <v>18</v>
      </c>
      <c r="F760" t="s">
        <v>22</v>
      </c>
      <c r="G760" t="s">
        <v>26</v>
      </c>
      <c r="H760">
        <v>9</v>
      </c>
      <c r="I760">
        <v>120680</v>
      </c>
      <c r="J760" t="s">
        <v>29</v>
      </c>
      <c r="K760" t="s">
        <v>31</v>
      </c>
      <c r="L760" t="s">
        <v>32</v>
      </c>
      <c r="M760">
        <v>1</v>
      </c>
    </row>
    <row r="761" spans="1:13" x14ac:dyDescent="0.3">
      <c r="A761">
        <v>100760</v>
      </c>
      <c r="B761">
        <v>38</v>
      </c>
      <c r="C761" t="str">
        <f t="shared" si="11"/>
        <v>19-40</v>
      </c>
      <c r="D761" t="s">
        <v>12</v>
      </c>
      <c r="E761" t="s">
        <v>15</v>
      </c>
      <c r="F761" t="s">
        <v>24</v>
      </c>
      <c r="G761" t="s">
        <v>25</v>
      </c>
      <c r="H761">
        <v>7</v>
      </c>
      <c r="I761">
        <v>63957</v>
      </c>
      <c r="J761" t="s">
        <v>29</v>
      </c>
      <c r="K761" t="s">
        <v>8</v>
      </c>
      <c r="L761" t="s">
        <v>34</v>
      </c>
      <c r="M761">
        <v>3</v>
      </c>
    </row>
    <row r="762" spans="1:13" x14ac:dyDescent="0.3">
      <c r="A762">
        <v>100761</v>
      </c>
      <c r="B762">
        <v>88</v>
      </c>
      <c r="C762" t="str">
        <f t="shared" si="11"/>
        <v>60+</v>
      </c>
      <c r="D762" t="s">
        <v>13</v>
      </c>
      <c r="E762" t="s">
        <v>19</v>
      </c>
      <c r="F762" t="s">
        <v>24</v>
      </c>
      <c r="G762" t="s">
        <v>27</v>
      </c>
      <c r="H762">
        <v>19</v>
      </c>
      <c r="I762">
        <v>67431</v>
      </c>
      <c r="J762" t="s">
        <v>28</v>
      </c>
      <c r="K762" t="s">
        <v>30</v>
      </c>
      <c r="L762" t="s">
        <v>33</v>
      </c>
      <c r="M762">
        <v>3</v>
      </c>
    </row>
    <row r="763" spans="1:13" x14ac:dyDescent="0.3">
      <c r="A763">
        <v>100762</v>
      </c>
      <c r="B763">
        <v>79</v>
      </c>
      <c r="C763" t="str">
        <f t="shared" si="11"/>
        <v>60+</v>
      </c>
      <c r="D763" t="s">
        <v>13</v>
      </c>
      <c r="E763" t="s">
        <v>17</v>
      </c>
      <c r="F763" t="s">
        <v>22</v>
      </c>
      <c r="G763" t="s">
        <v>27</v>
      </c>
      <c r="H763">
        <v>19</v>
      </c>
      <c r="I763">
        <v>150369</v>
      </c>
      <c r="J763" t="s">
        <v>28</v>
      </c>
      <c r="K763" t="s">
        <v>8</v>
      </c>
      <c r="L763" t="s">
        <v>32</v>
      </c>
      <c r="M763">
        <v>1</v>
      </c>
    </row>
    <row r="764" spans="1:13" x14ac:dyDescent="0.3">
      <c r="A764">
        <v>100763</v>
      </c>
      <c r="B764">
        <v>30</v>
      </c>
      <c r="C764" t="str">
        <f t="shared" si="11"/>
        <v>19-40</v>
      </c>
      <c r="D764" t="s">
        <v>13</v>
      </c>
      <c r="E764" t="s">
        <v>15</v>
      </c>
      <c r="F764" t="s">
        <v>24</v>
      </c>
      <c r="G764" t="s">
        <v>25</v>
      </c>
      <c r="H764">
        <v>6</v>
      </c>
      <c r="I764">
        <v>73894</v>
      </c>
      <c r="J764" t="s">
        <v>29</v>
      </c>
      <c r="K764" t="s">
        <v>30</v>
      </c>
      <c r="L764" t="s">
        <v>33</v>
      </c>
      <c r="M764">
        <v>5</v>
      </c>
    </row>
    <row r="765" spans="1:13" x14ac:dyDescent="0.3">
      <c r="A765">
        <v>100764</v>
      </c>
      <c r="B765">
        <v>51</v>
      </c>
      <c r="C765" t="str">
        <f t="shared" si="11"/>
        <v>41-60</v>
      </c>
      <c r="D765" t="s">
        <v>13</v>
      </c>
      <c r="E765" t="s">
        <v>16</v>
      </c>
      <c r="F765" t="s">
        <v>20</v>
      </c>
      <c r="G765" t="s">
        <v>27</v>
      </c>
      <c r="H765">
        <v>6</v>
      </c>
      <c r="I765">
        <v>249941</v>
      </c>
      <c r="J765" t="s">
        <v>28</v>
      </c>
      <c r="K765" t="s">
        <v>8</v>
      </c>
      <c r="L765" t="s">
        <v>35</v>
      </c>
      <c r="M765">
        <v>3</v>
      </c>
    </row>
    <row r="766" spans="1:13" x14ac:dyDescent="0.3">
      <c r="A766">
        <v>100765</v>
      </c>
      <c r="B766">
        <v>81</v>
      </c>
      <c r="C766" t="str">
        <f t="shared" si="11"/>
        <v>60+</v>
      </c>
      <c r="D766" t="s">
        <v>12</v>
      </c>
      <c r="E766" t="s">
        <v>16</v>
      </c>
      <c r="F766" t="s">
        <v>22</v>
      </c>
      <c r="G766" t="s">
        <v>27</v>
      </c>
      <c r="H766">
        <v>15</v>
      </c>
      <c r="I766">
        <v>196844</v>
      </c>
      <c r="J766" t="s">
        <v>28</v>
      </c>
      <c r="K766" t="s">
        <v>8</v>
      </c>
      <c r="L766" t="s">
        <v>32</v>
      </c>
      <c r="M766">
        <v>1</v>
      </c>
    </row>
    <row r="767" spans="1:13" x14ac:dyDescent="0.3">
      <c r="A767">
        <v>100766</v>
      </c>
      <c r="B767">
        <v>5</v>
      </c>
      <c r="C767" t="str">
        <f t="shared" si="11"/>
        <v>0-18</v>
      </c>
      <c r="D767" t="s">
        <v>12</v>
      </c>
      <c r="E767" t="s">
        <v>19</v>
      </c>
      <c r="F767" t="s">
        <v>24</v>
      </c>
      <c r="G767" t="s">
        <v>26</v>
      </c>
      <c r="H767">
        <v>15</v>
      </c>
      <c r="I767">
        <v>152653</v>
      </c>
      <c r="J767" t="s">
        <v>29</v>
      </c>
      <c r="K767" t="s">
        <v>30</v>
      </c>
      <c r="L767" t="s">
        <v>33</v>
      </c>
      <c r="M767">
        <v>5</v>
      </c>
    </row>
    <row r="768" spans="1:13" x14ac:dyDescent="0.3">
      <c r="A768">
        <v>100767</v>
      </c>
      <c r="B768">
        <v>29</v>
      </c>
      <c r="C768" t="str">
        <f t="shared" si="11"/>
        <v>19-40</v>
      </c>
      <c r="D768" t="s">
        <v>12</v>
      </c>
      <c r="E768" t="s">
        <v>17</v>
      </c>
      <c r="F768" t="s">
        <v>23</v>
      </c>
      <c r="G768" t="s">
        <v>25</v>
      </c>
      <c r="H768">
        <v>9</v>
      </c>
      <c r="I768">
        <v>57192</v>
      </c>
      <c r="J768" t="s">
        <v>28</v>
      </c>
      <c r="K768" t="s">
        <v>8</v>
      </c>
      <c r="L768" t="s">
        <v>32</v>
      </c>
      <c r="M768">
        <v>3</v>
      </c>
    </row>
    <row r="769" spans="1:13" x14ac:dyDescent="0.3">
      <c r="A769">
        <v>100768</v>
      </c>
      <c r="B769">
        <v>4</v>
      </c>
      <c r="C769" t="str">
        <f t="shared" si="11"/>
        <v>0-18</v>
      </c>
      <c r="D769" t="s">
        <v>13</v>
      </c>
      <c r="E769" t="s">
        <v>17</v>
      </c>
      <c r="F769" t="s">
        <v>24</v>
      </c>
      <c r="G769" t="s">
        <v>25</v>
      </c>
      <c r="H769">
        <v>4</v>
      </c>
      <c r="I769">
        <v>3462</v>
      </c>
      <c r="J769" t="s">
        <v>28</v>
      </c>
      <c r="K769" t="s">
        <v>31</v>
      </c>
      <c r="L769" t="s">
        <v>35</v>
      </c>
      <c r="M769">
        <v>5</v>
      </c>
    </row>
    <row r="770" spans="1:13" x14ac:dyDescent="0.3">
      <c r="A770">
        <v>100769</v>
      </c>
      <c r="B770">
        <v>10</v>
      </c>
      <c r="C770" t="str">
        <f t="shared" ref="C770:C833" si="12">IF(B770&lt;=18,"0-18",IF(B770&lt;=40,"19-40",IF(B770&lt;=60,"41-60","60+")))</f>
        <v>0-18</v>
      </c>
      <c r="D770" t="s">
        <v>13</v>
      </c>
      <c r="E770" t="s">
        <v>15</v>
      </c>
      <c r="F770" t="s">
        <v>20</v>
      </c>
      <c r="G770" t="s">
        <v>25</v>
      </c>
      <c r="H770">
        <v>18</v>
      </c>
      <c r="I770">
        <v>130848</v>
      </c>
      <c r="J770" t="s">
        <v>29</v>
      </c>
      <c r="K770" t="s">
        <v>8</v>
      </c>
      <c r="L770" t="s">
        <v>32</v>
      </c>
      <c r="M770">
        <v>4</v>
      </c>
    </row>
    <row r="771" spans="1:13" x14ac:dyDescent="0.3">
      <c r="A771">
        <v>100770</v>
      </c>
      <c r="B771">
        <v>56</v>
      </c>
      <c r="C771" t="str">
        <f t="shared" si="12"/>
        <v>41-60</v>
      </c>
      <c r="D771" t="s">
        <v>12</v>
      </c>
      <c r="E771" t="s">
        <v>15</v>
      </c>
      <c r="F771" t="s">
        <v>21</v>
      </c>
      <c r="G771" t="s">
        <v>25</v>
      </c>
      <c r="H771">
        <v>18</v>
      </c>
      <c r="I771">
        <v>197245</v>
      </c>
      <c r="J771" t="s">
        <v>28</v>
      </c>
      <c r="K771" t="s">
        <v>8</v>
      </c>
      <c r="L771" t="s">
        <v>33</v>
      </c>
      <c r="M771">
        <v>4</v>
      </c>
    </row>
    <row r="772" spans="1:13" x14ac:dyDescent="0.3">
      <c r="A772">
        <v>100771</v>
      </c>
      <c r="B772">
        <v>17</v>
      </c>
      <c r="C772" t="str">
        <f t="shared" si="12"/>
        <v>0-18</v>
      </c>
      <c r="D772" t="s">
        <v>13</v>
      </c>
      <c r="E772" t="s">
        <v>17</v>
      </c>
      <c r="F772" t="s">
        <v>24</v>
      </c>
      <c r="G772" t="s">
        <v>25</v>
      </c>
      <c r="H772">
        <v>5</v>
      </c>
      <c r="I772">
        <v>148583</v>
      </c>
      <c r="J772" t="s">
        <v>28</v>
      </c>
      <c r="K772" t="s">
        <v>31</v>
      </c>
      <c r="L772" t="s">
        <v>35</v>
      </c>
      <c r="M772">
        <v>5</v>
      </c>
    </row>
    <row r="773" spans="1:13" x14ac:dyDescent="0.3">
      <c r="A773">
        <v>100772</v>
      </c>
      <c r="B773">
        <v>74</v>
      </c>
      <c r="C773" t="str">
        <f t="shared" si="12"/>
        <v>60+</v>
      </c>
      <c r="D773" t="s">
        <v>13</v>
      </c>
      <c r="E773" t="s">
        <v>15</v>
      </c>
      <c r="F773" t="s">
        <v>21</v>
      </c>
      <c r="G773" t="s">
        <v>27</v>
      </c>
      <c r="H773">
        <v>11</v>
      </c>
      <c r="I773">
        <v>78106</v>
      </c>
      <c r="J773" t="s">
        <v>28</v>
      </c>
      <c r="K773" t="s">
        <v>30</v>
      </c>
      <c r="L773" t="s">
        <v>34</v>
      </c>
      <c r="M773">
        <v>3</v>
      </c>
    </row>
    <row r="774" spans="1:13" x14ac:dyDescent="0.3">
      <c r="A774">
        <v>100773</v>
      </c>
      <c r="B774">
        <v>17</v>
      </c>
      <c r="C774" t="str">
        <f t="shared" si="12"/>
        <v>0-18</v>
      </c>
      <c r="D774" t="s">
        <v>13</v>
      </c>
      <c r="E774" t="s">
        <v>17</v>
      </c>
      <c r="F774" t="s">
        <v>23</v>
      </c>
      <c r="G774" t="s">
        <v>26</v>
      </c>
      <c r="H774">
        <v>5</v>
      </c>
      <c r="I774">
        <v>50665</v>
      </c>
      <c r="J774" t="s">
        <v>29</v>
      </c>
      <c r="K774" t="s">
        <v>31</v>
      </c>
      <c r="L774" t="s">
        <v>33</v>
      </c>
      <c r="M774">
        <v>1</v>
      </c>
    </row>
    <row r="775" spans="1:13" x14ac:dyDescent="0.3">
      <c r="A775">
        <v>100774</v>
      </c>
      <c r="B775">
        <v>84</v>
      </c>
      <c r="C775" t="str">
        <f t="shared" si="12"/>
        <v>60+</v>
      </c>
      <c r="D775" t="s">
        <v>13</v>
      </c>
      <c r="E775" t="s">
        <v>18</v>
      </c>
      <c r="F775" t="s">
        <v>24</v>
      </c>
      <c r="G775" t="s">
        <v>25</v>
      </c>
      <c r="H775">
        <v>4</v>
      </c>
      <c r="I775">
        <v>177486</v>
      </c>
      <c r="J775" t="s">
        <v>29</v>
      </c>
      <c r="K775" t="s">
        <v>8</v>
      </c>
      <c r="L775" t="s">
        <v>33</v>
      </c>
      <c r="M775">
        <v>2</v>
      </c>
    </row>
    <row r="776" spans="1:13" x14ac:dyDescent="0.3">
      <c r="A776">
        <v>100775</v>
      </c>
      <c r="B776">
        <v>88</v>
      </c>
      <c r="C776" t="str">
        <f t="shared" si="12"/>
        <v>60+</v>
      </c>
      <c r="D776" t="s">
        <v>12</v>
      </c>
      <c r="E776" t="s">
        <v>17</v>
      </c>
      <c r="F776" t="s">
        <v>22</v>
      </c>
      <c r="G776" t="s">
        <v>26</v>
      </c>
      <c r="H776">
        <v>12</v>
      </c>
      <c r="I776">
        <v>83010</v>
      </c>
      <c r="J776" t="s">
        <v>28</v>
      </c>
      <c r="K776" t="s">
        <v>30</v>
      </c>
      <c r="L776" t="s">
        <v>35</v>
      </c>
      <c r="M776">
        <v>1</v>
      </c>
    </row>
    <row r="777" spans="1:13" x14ac:dyDescent="0.3">
      <c r="A777">
        <v>100776</v>
      </c>
      <c r="B777">
        <v>69</v>
      </c>
      <c r="C777" t="str">
        <f t="shared" si="12"/>
        <v>60+</v>
      </c>
      <c r="D777" t="s">
        <v>12</v>
      </c>
      <c r="E777" t="s">
        <v>16</v>
      </c>
      <c r="F777" t="s">
        <v>21</v>
      </c>
      <c r="G777" t="s">
        <v>26</v>
      </c>
      <c r="H777">
        <v>2</v>
      </c>
      <c r="I777">
        <v>74573</v>
      </c>
      <c r="J777" t="s">
        <v>28</v>
      </c>
      <c r="K777" t="s">
        <v>8</v>
      </c>
      <c r="L777" t="s">
        <v>35</v>
      </c>
      <c r="M777">
        <v>2</v>
      </c>
    </row>
    <row r="778" spans="1:13" x14ac:dyDescent="0.3">
      <c r="A778">
        <v>100777</v>
      </c>
      <c r="B778">
        <v>34</v>
      </c>
      <c r="C778" t="str">
        <f t="shared" si="12"/>
        <v>19-40</v>
      </c>
      <c r="D778" t="s">
        <v>12</v>
      </c>
      <c r="E778" t="s">
        <v>15</v>
      </c>
      <c r="F778" t="s">
        <v>23</v>
      </c>
      <c r="G778" t="s">
        <v>27</v>
      </c>
      <c r="H778">
        <v>13</v>
      </c>
      <c r="I778">
        <v>226737</v>
      </c>
      <c r="J778" t="s">
        <v>28</v>
      </c>
      <c r="K778" t="s">
        <v>8</v>
      </c>
      <c r="L778" t="s">
        <v>34</v>
      </c>
      <c r="M778">
        <v>2</v>
      </c>
    </row>
    <row r="779" spans="1:13" x14ac:dyDescent="0.3">
      <c r="A779">
        <v>100778</v>
      </c>
      <c r="B779">
        <v>6</v>
      </c>
      <c r="C779" t="str">
        <f t="shared" si="12"/>
        <v>0-18</v>
      </c>
      <c r="D779" t="s">
        <v>13</v>
      </c>
      <c r="E779" t="s">
        <v>17</v>
      </c>
      <c r="F779" t="s">
        <v>22</v>
      </c>
      <c r="G779" t="s">
        <v>25</v>
      </c>
      <c r="H779">
        <v>10</v>
      </c>
      <c r="I779">
        <v>109803</v>
      </c>
      <c r="J779" t="s">
        <v>29</v>
      </c>
      <c r="K779" t="s">
        <v>31</v>
      </c>
      <c r="L779" t="s">
        <v>33</v>
      </c>
      <c r="M779">
        <v>3</v>
      </c>
    </row>
    <row r="780" spans="1:13" x14ac:dyDescent="0.3">
      <c r="A780">
        <v>100779</v>
      </c>
      <c r="B780">
        <v>53</v>
      </c>
      <c r="C780" t="str">
        <f t="shared" si="12"/>
        <v>41-60</v>
      </c>
      <c r="D780" t="s">
        <v>12</v>
      </c>
      <c r="E780" t="s">
        <v>17</v>
      </c>
      <c r="F780" t="s">
        <v>22</v>
      </c>
      <c r="G780" t="s">
        <v>27</v>
      </c>
      <c r="H780">
        <v>9</v>
      </c>
      <c r="I780">
        <v>121682</v>
      </c>
      <c r="J780" t="s">
        <v>29</v>
      </c>
      <c r="K780" t="s">
        <v>31</v>
      </c>
      <c r="L780" t="s">
        <v>35</v>
      </c>
      <c r="M780">
        <v>5</v>
      </c>
    </row>
    <row r="781" spans="1:13" x14ac:dyDescent="0.3">
      <c r="A781">
        <v>100780</v>
      </c>
      <c r="B781">
        <v>66</v>
      </c>
      <c r="C781" t="str">
        <f t="shared" si="12"/>
        <v>60+</v>
      </c>
      <c r="D781" t="s">
        <v>12</v>
      </c>
      <c r="E781" t="s">
        <v>15</v>
      </c>
      <c r="F781" t="s">
        <v>22</v>
      </c>
      <c r="G781" t="s">
        <v>25</v>
      </c>
      <c r="H781">
        <v>10</v>
      </c>
      <c r="I781">
        <v>15386</v>
      </c>
      <c r="J781" t="s">
        <v>29</v>
      </c>
      <c r="K781" t="s">
        <v>30</v>
      </c>
      <c r="L781" t="s">
        <v>34</v>
      </c>
      <c r="M781">
        <v>1</v>
      </c>
    </row>
    <row r="782" spans="1:13" x14ac:dyDescent="0.3">
      <c r="A782">
        <v>100781</v>
      </c>
      <c r="B782">
        <v>77</v>
      </c>
      <c r="C782" t="str">
        <f t="shared" si="12"/>
        <v>60+</v>
      </c>
      <c r="D782" t="s">
        <v>13</v>
      </c>
      <c r="E782" t="s">
        <v>18</v>
      </c>
      <c r="F782" t="s">
        <v>22</v>
      </c>
      <c r="G782" t="s">
        <v>27</v>
      </c>
      <c r="H782">
        <v>7</v>
      </c>
      <c r="I782">
        <v>126069</v>
      </c>
      <c r="J782" t="s">
        <v>28</v>
      </c>
      <c r="K782" t="s">
        <v>30</v>
      </c>
      <c r="L782" t="s">
        <v>34</v>
      </c>
      <c r="M782">
        <v>5</v>
      </c>
    </row>
    <row r="783" spans="1:13" x14ac:dyDescent="0.3">
      <c r="A783">
        <v>100782</v>
      </c>
      <c r="B783">
        <v>43</v>
      </c>
      <c r="C783" t="str">
        <f t="shared" si="12"/>
        <v>41-60</v>
      </c>
      <c r="D783" t="s">
        <v>13</v>
      </c>
      <c r="E783" t="s">
        <v>18</v>
      </c>
      <c r="F783" t="s">
        <v>24</v>
      </c>
      <c r="G783" t="s">
        <v>26</v>
      </c>
      <c r="H783">
        <v>4</v>
      </c>
      <c r="I783">
        <v>56460</v>
      </c>
      <c r="J783" t="s">
        <v>28</v>
      </c>
      <c r="K783" t="s">
        <v>30</v>
      </c>
      <c r="L783" t="s">
        <v>35</v>
      </c>
      <c r="M783">
        <v>4</v>
      </c>
    </row>
    <row r="784" spans="1:13" x14ac:dyDescent="0.3">
      <c r="A784">
        <v>100783</v>
      </c>
      <c r="B784">
        <v>75</v>
      </c>
      <c r="C784" t="str">
        <f t="shared" si="12"/>
        <v>60+</v>
      </c>
      <c r="D784" t="s">
        <v>12</v>
      </c>
      <c r="E784" t="s">
        <v>15</v>
      </c>
      <c r="F784" t="s">
        <v>24</v>
      </c>
      <c r="G784" t="s">
        <v>25</v>
      </c>
      <c r="H784">
        <v>19</v>
      </c>
      <c r="I784">
        <v>139293</v>
      </c>
      <c r="J784" t="s">
        <v>28</v>
      </c>
      <c r="K784" t="s">
        <v>8</v>
      </c>
      <c r="L784" t="s">
        <v>33</v>
      </c>
      <c r="M784">
        <v>3</v>
      </c>
    </row>
    <row r="785" spans="1:13" x14ac:dyDescent="0.3">
      <c r="A785">
        <v>100784</v>
      </c>
      <c r="B785">
        <v>23</v>
      </c>
      <c r="C785" t="str">
        <f t="shared" si="12"/>
        <v>19-40</v>
      </c>
      <c r="D785" t="s">
        <v>12</v>
      </c>
      <c r="E785" t="s">
        <v>14</v>
      </c>
      <c r="F785" t="s">
        <v>24</v>
      </c>
      <c r="G785" t="s">
        <v>26</v>
      </c>
      <c r="H785">
        <v>10</v>
      </c>
      <c r="I785">
        <v>156546</v>
      </c>
      <c r="J785" t="s">
        <v>28</v>
      </c>
      <c r="K785" t="s">
        <v>31</v>
      </c>
      <c r="L785" t="s">
        <v>32</v>
      </c>
      <c r="M785">
        <v>3</v>
      </c>
    </row>
    <row r="786" spans="1:13" x14ac:dyDescent="0.3">
      <c r="A786">
        <v>100785</v>
      </c>
      <c r="B786">
        <v>55</v>
      </c>
      <c r="C786" t="str">
        <f t="shared" si="12"/>
        <v>41-60</v>
      </c>
      <c r="D786" t="s">
        <v>12</v>
      </c>
      <c r="E786" t="s">
        <v>15</v>
      </c>
      <c r="F786" t="s">
        <v>23</v>
      </c>
      <c r="G786" t="s">
        <v>26</v>
      </c>
      <c r="H786">
        <v>3</v>
      </c>
      <c r="I786">
        <v>239145</v>
      </c>
      <c r="J786" t="s">
        <v>28</v>
      </c>
      <c r="K786" t="s">
        <v>31</v>
      </c>
      <c r="L786" t="s">
        <v>32</v>
      </c>
      <c r="M786">
        <v>4</v>
      </c>
    </row>
    <row r="787" spans="1:13" x14ac:dyDescent="0.3">
      <c r="A787">
        <v>100786</v>
      </c>
      <c r="B787">
        <v>80</v>
      </c>
      <c r="C787" t="str">
        <f t="shared" si="12"/>
        <v>60+</v>
      </c>
      <c r="D787" t="s">
        <v>12</v>
      </c>
      <c r="E787" t="s">
        <v>15</v>
      </c>
      <c r="F787" t="s">
        <v>23</v>
      </c>
      <c r="G787" t="s">
        <v>27</v>
      </c>
      <c r="H787">
        <v>19</v>
      </c>
      <c r="I787">
        <v>117375</v>
      </c>
      <c r="J787" t="s">
        <v>29</v>
      </c>
      <c r="K787" t="s">
        <v>31</v>
      </c>
      <c r="L787" t="s">
        <v>34</v>
      </c>
      <c r="M787">
        <v>1</v>
      </c>
    </row>
    <row r="788" spans="1:13" x14ac:dyDescent="0.3">
      <c r="A788">
        <v>100787</v>
      </c>
      <c r="B788">
        <v>75</v>
      </c>
      <c r="C788" t="str">
        <f t="shared" si="12"/>
        <v>60+</v>
      </c>
      <c r="D788" t="s">
        <v>13</v>
      </c>
      <c r="E788" t="s">
        <v>18</v>
      </c>
      <c r="F788" t="s">
        <v>23</v>
      </c>
      <c r="G788" t="s">
        <v>25</v>
      </c>
      <c r="H788">
        <v>2</v>
      </c>
      <c r="I788">
        <v>114660</v>
      </c>
      <c r="J788" t="s">
        <v>28</v>
      </c>
      <c r="K788" t="s">
        <v>30</v>
      </c>
      <c r="L788" t="s">
        <v>32</v>
      </c>
      <c r="M788">
        <v>4</v>
      </c>
    </row>
    <row r="789" spans="1:13" x14ac:dyDescent="0.3">
      <c r="A789">
        <v>100788</v>
      </c>
      <c r="B789">
        <v>16</v>
      </c>
      <c r="C789" t="str">
        <f t="shared" si="12"/>
        <v>0-18</v>
      </c>
      <c r="D789" t="s">
        <v>12</v>
      </c>
      <c r="E789" t="s">
        <v>18</v>
      </c>
      <c r="F789" t="s">
        <v>20</v>
      </c>
      <c r="G789" t="s">
        <v>26</v>
      </c>
      <c r="H789">
        <v>10</v>
      </c>
      <c r="I789">
        <v>154117</v>
      </c>
      <c r="J789" t="s">
        <v>28</v>
      </c>
      <c r="K789" t="s">
        <v>31</v>
      </c>
      <c r="L789" t="s">
        <v>32</v>
      </c>
      <c r="M789">
        <v>1</v>
      </c>
    </row>
    <row r="790" spans="1:13" x14ac:dyDescent="0.3">
      <c r="A790">
        <v>100789</v>
      </c>
      <c r="B790">
        <v>8</v>
      </c>
      <c r="C790" t="str">
        <f t="shared" si="12"/>
        <v>0-18</v>
      </c>
      <c r="D790" t="s">
        <v>12</v>
      </c>
      <c r="E790" t="s">
        <v>15</v>
      </c>
      <c r="F790" t="s">
        <v>23</v>
      </c>
      <c r="G790" t="s">
        <v>27</v>
      </c>
      <c r="H790">
        <v>2</v>
      </c>
      <c r="I790">
        <v>93319</v>
      </c>
      <c r="J790" t="s">
        <v>28</v>
      </c>
      <c r="K790" t="s">
        <v>31</v>
      </c>
      <c r="L790" t="s">
        <v>35</v>
      </c>
      <c r="M790">
        <v>2</v>
      </c>
    </row>
    <row r="791" spans="1:13" x14ac:dyDescent="0.3">
      <c r="A791">
        <v>100790</v>
      </c>
      <c r="B791">
        <v>4</v>
      </c>
      <c r="C791" t="str">
        <f t="shared" si="12"/>
        <v>0-18</v>
      </c>
      <c r="D791" t="s">
        <v>13</v>
      </c>
      <c r="E791" t="s">
        <v>15</v>
      </c>
      <c r="F791" t="s">
        <v>24</v>
      </c>
      <c r="G791" t="s">
        <v>25</v>
      </c>
      <c r="H791">
        <v>2</v>
      </c>
      <c r="I791">
        <v>118582</v>
      </c>
      <c r="J791" t="s">
        <v>29</v>
      </c>
      <c r="K791" t="s">
        <v>31</v>
      </c>
      <c r="L791" t="s">
        <v>34</v>
      </c>
      <c r="M791">
        <v>3</v>
      </c>
    </row>
    <row r="792" spans="1:13" x14ac:dyDescent="0.3">
      <c r="A792">
        <v>100791</v>
      </c>
      <c r="B792">
        <v>4</v>
      </c>
      <c r="C792" t="str">
        <f t="shared" si="12"/>
        <v>0-18</v>
      </c>
      <c r="D792" t="s">
        <v>12</v>
      </c>
      <c r="E792" t="s">
        <v>15</v>
      </c>
      <c r="F792" t="s">
        <v>24</v>
      </c>
      <c r="G792" t="s">
        <v>25</v>
      </c>
      <c r="H792">
        <v>17</v>
      </c>
      <c r="I792">
        <v>238765</v>
      </c>
      <c r="J792" t="s">
        <v>28</v>
      </c>
      <c r="K792" t="s">
        <v>30</v>
      </c>
      <c r="L792" t="s">
        <v>33</v>
      </c>
      <c r="M792">
        <v>1</v>
      </c>
    </row>
    <row r="793" spans="1:13" x14ac:dyDescent="0.3">
      <c r="A793">
        <v>100792</v>
      </c>
      <c r="B793">
        <v>56</v>
      </c>
      <c r="C793" t="str">
        <f t="shared" si="12"/>
        <v>41-60</v>
      </c>
      <c r="D793" t="s">
        <v>13</v>
      </c>
      <c r="E793" t="s">
        <v>18</v>
      </c>
      <c r="F793" t="s">
        <v>20</v>
      </c>
      <c r="G793" t="s">
        <v>26</v>
      </c>
      <c r="H793">
        <v>16</v>
      </c>
      <c r="I793">
        <v>137994</v>
      </c>
      <c r="J793" t="s">
        <v>29</v>
      </c>
      <c r="K793" t="s">
        <v>31</v>
      </c>
      <c r="L793" t="s">
        <v>34</v>
      </c>
      <c r="M793">
        <v>5</v>
      </c>
    </row>
    <row r="794" spans="1:13" x14ac:dyDescent="0.3">
      <c r="A794">
        <v>100793</v>
      </c>
      <c r="B794">
        <v>25</v>
      </c>
      <c r="C794" t="str">
        <f t="shared" si="12"/>
        <v>19-40</v>
      </c>
      <c r="D794" t="s">
        <v>13</v>
      </c>
      <c r="E794" t="s">
        <v>15</v>
      </c>
      <c r="F794" t="s">
        <v>20</v>
      </c>
      <c r="G794" t="s">
        <v>25</v>
      </c>
      <c r="H794">
        <v>16</v>
      </c>
      <c r="I794">
        <v>245015</v>
      </c>
      <c r="J794" t="s">
        <v>29</v>
      </c>
      <c r="K794" t="s">
        <v>30</v>
      </c>
      <c r="L794" t="s">
        <v>35</v>
      </c>
      <c r="M794">
        <v>5</v>
      </c>
    </row>
    <row r="795" spans="1:13" x14ac:dyDescent="0.3">
      <c r="A795">
        <v>100794</v>
      </c>
      <c r="B795">
        <v>67</v>
      </c>
      <c r="C795" t="str">
        <f t="shared" si="12"/>
        <v>60+</v>
      </c>
      <c r="D795" t="s">
        <v>13</v>
      </c>
      <c r="E795" t="s">
        <v>15</v>
      </c>
      <c r="F795" t="s">
        <v>23</v>
      </c>
      <c r="G795" t="s">
        <v>26</v>
      </c>
      <c r="H795">
        <v>14</v>
      </c>
      <c r="I795">
        <v>155778</v>
      </c>
      <c r="J795" t="s">
        <v>29</v>
      </c>
      <c r="K795" t="s">
        <v>31</v>
      </c>
      <c r="L795" t="s">
        <v>32</v>
      </c>
      <c r="M795">
        <v>3</v>
      </c>
    </row>
    <row r="796" spans="1:13" x14ac:dyDescent="0.3">
      <c r="A796">
        <v>100795</v>
      </c>
      <c r="B796">
        <v>67</v>
      </c>
      <c r="C796" t="str">
        <f t="shared" si="12"/>
        <v>60+</v>
      </c>
      <c r="D796" t="s">
        <v>12</v>
      </c>
      <c r="E796" t="s">
        <v>19</v>
      </c>
      <c r="F796" t="s">
        <v>21</v>
      </c>
      <c r="G796" t="s">
        <v>25</v>
      </c>
      <c r="H796">
        <v>7</v>
      </c>
      <c r="I796">
        <v>44771</v>
      </c>
      <c r="J796" t="s">
        <v>29</v>
      </c>
      <c r="K796" t="s">
        <v>31</v>
      </c>
      <c r="L796" t="s">
        <v>33</v>
      </c>
      <c r="M796">
        <v>4</v>
      </c>
    </row>
    <row r="797" spans="1:13" x14ac:dyDescent="0.3">
      <c r="A797">
        <v>100796</v>
      </c>
      <c r="B797">
        <v>27</v>
      </c>
      <c r="C797" t="str">
        <f t="shared" si="12"/>
        <v>19-40</v>
      </c>
      <c r="D797" t="s">
        <v>12</v>
      </c>
      <c r="E797" t="s">
        <v>14</v>
      </c>
      <c r="F797" t="s">
        <v>20</v>
      </c>
      <c r="G797" t="s">
        <v>27</v>
      </c>
      <c r="H797">
        <v>11</v>
      </c>
      <c r="I797">
        <v>54335</v>
      </c>
      <c r="J797" t="s">
        <v>29</v>
      </c>
      <c r="K797" t="s">
        <v>31</v>
      </c>
      <c r="L797" t="s">
        <v>34</v>
      </c>
      <c r="M797">
        <v>4</v>
      </c>
    </row>
    <row r="798" spans="1:13" x14ac:dyDescent="0.3">
      <c r="A798">
        <v>100797</v>
      </c>
      <c r="B798">
        <v>32</v>
      </c>
      <c r="C798" t="str">
        <f t="shared" si="12"/>
        <v>19-40</v>
      </c>
      <c r="D798" t="s">
        <v>13</v>
      </c>
      <c r="E798" t="s">
        <v>16</v>
      </c>
      <c r="F798" t="s">
        <v>22</v>
      </c>
      <c r="G798" t="s">
        <v>26</v>
      </c>
      <c r="H798">
        <v>1</v>
      </c>
      <c r="I798">
        <v>231087</v>
      </c>
      <c r="J798" t="s">
        <v>28</v>
      </c>
      <c r="K798" t="s">
        <v>30</v>
      </c>
      <c r="L798" t="s">
        <v>32</v>
      </c>
      <c r="M798">
        <v>1</v>
      </c>
    </row>
    <row r="799" spans="1:13" x14ac:dyDescent="0.3">
      <c r="A799">
        <v>100798</v>
      </c>
      <c r="B799">
        <v>50</v>
      </c>
      <c r="C799" t="str">
        <f t="shared" si="12"/>
        <v>41-60</v>
      </c>
      <c r="D799" t="s">
        <v>12</v>
      </c>
      <c r="E799" t="s">
        <v>14</v>
      </c>
      <c r="F799" t="s">
        <v>24</v>
      </c>
      <c r="G799" t="s">
        <v>26</v>
      </c>
      <c r="H799">
        <v>11</v>
      </c>
      <c r="I799">
        <v>54949</v>
      </c>
      <c r="J799" t="s">
        <v>28</v>
      </c>
      <c r="K799" t="s">
        <v>30</v>
      </c>
      <c r="L799" t="s">
        <v>34</v>
      </c>
      <c r="M799">
        <v>4</v>
      </c>
    </row>
    <row r="800" spans="1:13" x14ac:dyDescent="0.3">
      <c r="A800">
        <v>100799</v>
      </c>
      <c r="B800">
        <v>61</v>
      </c>
      <c r="C800" t="str">
        <f t="shared" si="12"/>
        <v>60+</v>
      </c>
      <c r="D800" t="s">
        <v>12</v>
      </c>
      <c r="E800" t="s">
        <v>19</v>
      </c>
      <c r="F800" t="s">
        <v>22</v>
      </c>
      <c r="G800" t="s">
        <v>25</v>
      </c>
      <c r="H800">
        <v>4</v>
      </c>
      <c r="I800">
        <v>203786</v>
      </c>
      <c r="J800" t="s">
        <v>29</v>
      </c>
      <c r="K800" t="s">
        <v>31</v>
      </c>
      <c r="L800" t="s">
        <v>33</v>
      </c>
      <c r="M800">
        <v>3</v>
      </c>
    </row>
    <row r="801" spans="1:13" x14ac:dyDescent="0.3">
      <c r="A801">
        <v>100800</v>
      </c>
      <c r="B801">
        <v>51</v>
      </c>
      <c r="C801" t="str">
        <f t="shared" si="12"/>
        <v>41-60</v>
      </c>
      <c r="D801" t="s">
        <v>13</v>
      </c>
      <c r="E801" t="s">
        <v>16</v>
      </c>
      <c r="F801" t="s">
        <v>24</v>
      </c>
      <c r="G801" t="s">
        <v>25</v>
      </c>
      <c r="H801">
        <v>7</v>
      </c>
      <c r="I801">
        <v>97558</v>
      </c>
      <c r="J801" t="s">
        <v>29</v>
      </c>
      <c r="K801" t="s">
        <v>8</v>
      </c>
      <c r="L801" t="s">
        <v>34</v>
      </c>
      <c r="M801">
        <v>1</v>
      </c>
    </row>
    <row r="802" spans="1:13" x14ac:dyDescent="0.3">
      <c r="A802">
        <v>100801</v>
      </c>
      <c r="B802">
        <v>19</v>
      </c>
      <c r="C802" t="str">
        <f t="shared" si="12"/>
        <v>19-40</v>
      </c>
      <c r="D802" t="s">
        <v>13</v>
      </c>
      <c r="E802" t="s">
        <v>15</v>
      </c>
      <c r="F802" t="s">
        <v>24</v>
      </c>
      <c r="G802" t="s">
        <v>26</v>
      </c>
      <c r="H802">
        <v>15</v>
      </c>
      <c r="I802">
        <v>148312</v>
      </c>
      <c r="J802" t="s">
        <v>29</v>
      </c>
      <c r="K802" t="s">
        <v>30</v>
      </c>
      <c r="L802" t="s">
        <v>34</v>
      </c>
      <c r="M802">
        <v>2</v>
      </c>
    </row>
    <row r="803" spans="1:13" x14ac:dyDescent="0.3">
      <c r="A803">
        <v>100802</v>
      </c>
      <c r="B803">
        <v>21</v>
      </c>
      <c r="C803" t="str">
        <f t="shared" si="12"/>
        <v>19-40</v>
      </c>
      <c r="D803" t="s">
        <v>12</v>
      </c>
      <c r="E803" t="s">
        <v>19</v>
      </c>
      <c r="F803" t="s">
        <v>20</v>
      </c>
      <c r="G803" t="s">
        <v>25</v>
      </c>
      <c r="H803">
        <v>18</v>
      </c>
      <c r="I803">
        <v>224828</v>
      </c>
      <c r="J803" t="s">
        <v>28</v>
      </c>
      <c r="K803" t="s">
        <v>30</v>
      </c>
      <c r="L803" t="s">
        <v>34</v>
      </c>
      <c r="M803">
        <v>4</v>
      </c>
    </row>
    <row r="804" spans="1:13" x14ac:dyDescent="0.3">
      <c r="A804">
        <v>100803</v>
      </c>
      <c r="B804">
        <v>5</v>
      </c>
      <c r="C804" t="str">
        <f t="shared" si="12"/>
        <v>0-18</v>
      </c>
      <c r="D804" t="s">
        <v>13</v>
      </c>
      <c r="E804" t="s">
        <v>15</v>
      </c>
      <c r="F804" t="s">
        <v>20</v>
      </c>
      <c r="G804" t="s">
        <v>27</v>
      </c>
      <c r="H804">
        <v>12</v>
      </c>
      <c r="I804">
        <v>104272</v>
      </c>
      <c r="J804" t="s">
        <v>28</v>
      </c>
      <c r="K804" t="s">
        <v>31</v>
      </c>
      <c r="L804" t="s">
        <v>32</v>
      </c>
      <c r="M804">
        <v>4</v>
      </c>
    </row>
    <row r="805" spans="1:13" x14ac:dyDescent="0.3">
      <c r="A805">
        <v>100804</v>
      </c>
      <c r="B805">
        <v>82</v>
      </c>
      <c r="C805" t="str">
        <f t="shared" si="12"/>
        <v>60+</v>
      </c>
      <c r="D805" t="s">
        <v>12</v>
      </c>
      <c r="E805" t="s">
        <v>18</v>
      </c>
      <c r="F805" t="s">
        <v>22</v>
      </c>
      <c r="G805" t="s">
        <v>25</v>
      </c>
      <c r="H805">
        <v>17</v>
      </c>
      <c r="I805">
        <v>4716</v>
      </c>
      <c r="J805" t="s">
        <v>29</v>
      </c>
      <c r="K805" t="s">
        <v>8</v>
      </c>
      <c r="L805" t="s">
        <v>33</v>
      </c>
      <c r="M805">
        <v>1</v>
      </c>
    </row>
    <row r="806" spans="1:13" x14ac:dyDescent="0.3">
      <c r="A806">
        <v>100805</v>
      </c>
      <c r="B806">
        <v>42</v>
      </c>
      <c r="C806" t="str">
        <f t="shared" si="12"/>
        <v>41-60</v>
      </c>
      <c r="D806" t="s">
        <v>12</v>
      </c>
      <c r="E806" t="s">
        <v>17</v>
      </c>
      <c r="F806" t="s">
        <v>24</v>
      </c>
      <c r="G806" t="s">
        <v>27</v>
      </c>
      <c r="H806">
        <v>1</v>
      </c>
      <c r="I806">
        <v>149646</v>
      </c>
      <c r="J806" t="s">
        <v>28</v>
      </c>
      <c r="K806" t="s">
        <v>31</v>
      </c>
      <c r="L806" t="s">
        <v>33</v>
      </c>
      <c r="M806">
        <v>5</v>
      </c>
    </row>
    <row r="807" spans="1:13" x14ac:dyDescent="0.3">
      <c r="A807">
        <v>100806</v>
      </c>
      <c r="B807">
        <v>61</v>
      </c>
      <c r="C807" t="str">
        <f t="shared" si="12"/>
        <v>60+</v>
      </c>
      <c r="D807" t="s">
        <v>12</v>
      </c>
      <c r="E807" t="s">
        <v>19</v>
      </c>
      <c r="F807" t="s">
        <v>22</v>
      </c>
      <c r="G807" t="s">
        <v>27</v>
      </c>
      <c r="H807">
        <v>11</v>
      </c>
      <c r="I807">
        <v>244887</v>
      </c>
      <c r="J807" t="s">
        <v>28</v>
      </c>
      <c r="K807" t="s">
        <v>30</v>
      </c>
      <c r="L807" t="s">
        <v>32</v>
      </c>
      <c r="M807">
        <v>4</v>
      </c>
    </row>
    <row r="808" spans="1:13" x14ac:dyDescent="0.3">
      <c r="A808">
        <v>100807</v>
      </c>
      <c r="B808">
        <v>22</v>
      </c>
      <c r="C808" t="str">
        <f t="shared" si="12"/>
        <v>19-40</v>
      </c>
      <c r="D808" t="s">
        <v>12</v>
      </c>
      <c r="E808" t="s">
        <v>18</v>
      </c>
      <c r="F808" t="s">
        <v>21</v>
      </c>
      <c r="G808" t="s">
        <v>27</v>
      </c>
      <c r="H808">
        <v>1</v>
      </c>
      <c r="I808">
        <v>216327</v>
      </c>
      <c r="J808" t="s">
        <v>29</v>
      </c>
      <c r="K808" t="s">
        <v>30</v>
      </c>
      <c r="L808" t="s">
        <v>32</v>
      </c>
      <c r="M808">
        <v>3</v>
      </c>
    </row>
    <row r="809" spans="1:13" x14ac:dyDescent="0.3">
      <c r="A809">
        <v>100808</v>
      </c>
      <c r="B809">
        <v>21</v>
      </c>
      <c r="C809" t="str">
        <f t="shared" si="12"/>
        <v>19-40</v>
      </c>
      <c r="D809" t="s">
        <v>13</v>
      </c>
      <c r="E809" t="s">
        <v>19</v>
      </c>
      <c r="F809" t="s">
        <v>22</v>
      </c>
      <c r="G809" t="s">
        <v>27</v>
      </c>
      <c r="H809">
        <v>15</v>
      </c>
      <c r="I809">
        <v>206789</v>
      </c>
      <c r="J809" t="s">
        <v>29</v>
      </c>
      <c r="K809" t="s">
        <v>31</v>
      </c>
      <c r="L809" t="s">
        <v>32</v>
      </c>
      <c r="M809">
        <v>4</v>
      </c>
    </row>
    <row r="810" spans="1:13" x14ac:dyDescent="0.3">
      <c r="A810">
        <v>100809</v>
      </c>
      <c r="B810">
        <v>70</v>
      </c>
      <c r="C810" t="str">
        <f t="shared" si="12"/>
        <v>60+</v>
      </c>
      <c r="D810" t="s">
        <v>13</v>
      </c>
      <c r="E810" t="s">
        <v>19</v>
      </c>
      <c r="F810" t="s">
        <v>23</v>
      </c>
      <c r="G810" t="s">
        <v>27</v>
      </c>
      <c r="H810">
        <v>10</v>
      </c>
      <c r="I810">
        <v>244371</v>
      </c>
      <c r="J810" t="s">
        <v>28</v>
      </c>
      <c r="K810" t="s">
        <v>31</v>
      </c>
      <c r="L810" t="s">
        <v>35</v>
      </c>
      <c r="M810">
        <v>2</v>
      </c>
    </row>
    <row r="811" spans="1:13" x14ac:dyDescent="0.3">
      <c r="A811">
        <v>100810</v>
      </c>
      <c r="B811">
        <v>1</v>
      </c>
      <c r="C811" t="str">
        <f t="shared" si="12"/>
        <v>0-18</v>
      </c>
      <c r="D811" t="s">
        <v>13</v>
      </c>
      <c r="E811" t="s">
        <v>18</v>
      </c>
      <c r="F811" t="s">
        <v>22</v>
      </c>
      <c r="G811" t="s">
        <v>25</v>
      </c>
      <c r="H811">
        <v>7</v>
      </c>
      <c r="I811">
        <v>177138</v>
      </c>
      <c r="J811" t="s">
        <v>28</v>
      </c>
      <c r="K811" t="s">
        <v>8</v>
      </c>
      <c r="L811" t="s">
        <v>34</v>
      </c>
      <c r="M811">
        <v>4</v>
      </c>
    </row>
    <row r="812" spans="1:13" x14ac:dyDescent="0.3">
      <c r="A812">
        <v>100811</v>
      </c>
      <c r="B812">
        <v>5</v>
      </c>
      <c r="C812" t="str">
        <f t="shared" si="12"/>
        <v>0-18</v>
      </c>
      <c r="D812" t="s">
        <v>13</v>
      </c>
      <c r="E812" t="s">
        <v>16</v>
      </c>
      <c r="F812" t="s">
        <v>23</v>
      </c>
      <c r="G812" t="s">
        <v>27</v>
      </c>
      <c r="H812">
        <v>2</v>
      </c>
      <c r="I812">
        <v>248138</v>
      </c>
      <c r="J812" t="s">
        <v>28</v>
      </c>
      <c r="K812" t="s">
        <v>8</v>
      </c>
      <c r="L812" t="s">
        <v>34</v>
      </c>
      <c r="M812">
        <v>5</v>
      </c>
    </row>
    <row r="813" spans="1:13" x14ac:dyDescent="0.3">
      <c r="A813">
        <v>100812</v>
      </c>
      <c r="B813">
        <v>12</v>
      </c>
      <c r="C813" t="str">
        <f t="shared" si="12"/>
        <v>0-18</v>
      </c>
      <c r="D813" t="s">
        <v>12</v>
      </c>
      <c r="E813" t="s">
        <v>14</v>
      </c>
      <c r="F813" t="s">
        <v>23</v>
      </c>
      <c r="G813" t="s">
        <v>25</v>
      </c>
      <c r="H813">
        <v>10</v>
      </c>
      <c r="I813">
        <v>194898</v>
      </c>
      <c r="J813" t="s">
        <v>29</v>
      </c>
      <c r="K813" t="s">
        <v>30</v>
      </c>
      <c r="L813" t="s">
        <v>33</v>
      </c>
      <c r="M813">
        <v>4</v>
      </c>
    </row>
    <row r="814" spans="1:13" x14ac:dyDescent="0.3">
      <c r="A814">
        <v>100813</v>
      </c>
      <c r="B814">
        <v>46</v>
      </c>
      <c r="C814" t="str">
        <f t="shared" si="12"/>
        <v>41-60</v>
      </c>
      <c r="D814" t="s">
        <v>12</v>
      </c>
      <c r="E814" t="s">
        <v>15</v>
      </c>
      <c r="F814" t="s">
        <v>23</v>
      </c>
      <c r="G814" t="s">
        <v>27</v>
      </c>
      <c r="H814">
        <v>4</v>
      </c>
      <c r="I814">
        <v>153285</v>
      </c>
      <c r="J814" t="s">
        <v>29</v>
      </c>
      <c r="K814" t="s">
        <v>8</v>
      </c>
      <c r="L814" t="s">
        <v>34</v>
      </c>
      <c r="M814">
        <v>1</v>
      </c>
    </row>
    <row r="815" spans="1:13" x14ac:dyDescent="0.3">
      <c r="A815">
        <v>100814</v>
      </c>
      <c r="B815">
        <v>34</v>
      </c>
      <c r="C815" t="str">
        <f t="shared" si="12"/>
        <v>19-40</v>
      </c>
      <c r="D815" t="s">
        <v>13</v>
      </c>
      <c r="E815" t="s">
        <v>19</v>
      </c>
      <c r="F815" t="s">
        <v>21</v>
      </c>
      <c r="G815" t="s">
        <v>26</v>
      </c>
      <c r="H815">
        <v>12</v>
      </c>
      <c r="I815">
        <v>73916</v>
      </c>
      <c r="J815" t="s">
        <v>29</v>
      </c>
      <c r="K815" t="s">
        <v>8</v>
      </c>
      <c r="L815" t="s">
        <v>35</v>
      </c>
      <c r="M815">
        <v>4</v>
      </c>
    </row>
    <row r="816" spans="1:13" x14ac:dyDescent="0.3">
      <c r="A816">
        <v>100815</v>
      </c>
      <c r="B816">
        <v>49</v>
      </c>
      <c r="C816" t="str">
        <f t="shared" si="12"/>
        <v>41-60</v>
      </c>
      <c r="D816" t="s">
        <v>12</v>
      </c>
      <c r="E816" t="s">
        <v>15</v>
      </c>
      <c r="F816" t="s">
        <v>22</v>
      </c>
      <c r="G816" t="s">
        <v>27</v>
      </c>
      <c r="H816">
        <v>19</v>
      </c>
      <c r="I816">
        <v>199223</v>
      </c>
      <c r="J816" t="s">
        <v>28</v>
      </c>
      <c r="K816" t="s">
        <v>30</v>
      </c>
      <c r="L816" t="s">
        <v>32</v>
      </c>
      <c r="M816">
        <v>5</v>
      </c>
    </row>
    <row r="817" spans="1:13" x14ac:dyDescent="0.3">
      <c r="A817">
        <v>100816</v>
      </c>
      <c r="B817">
        <v>78</v>
      </c>
      <c r="C817" t="str">
        <f t="shared" si="12"/>
        <v>60+</v>
      </c>
      <c r="D817" t="s">
        <v>12</v>
      </c>
      <c r="E817" t="s">
        <v>17</v>
      </c>
      <c r="F817" t="s">
        <v>22</v>
      </c>
      <c r="G817" t="s">
        <v>26</v>
      </c>
      <c r="H817">
        <v>11</v>
      </c>
      <c r="I817">
        <v>52906</v>
      </c>
      <c r="J817" t="s">
        <v>28</v>
      </c>
      <c r="K817" t="s">
        <v>30</v>
      </c>
      <c r="L817" t="s">
        <v>33</v>
      </c>
      <c r="M817">
        <v>1</v>
      </c>
    </row>
    <row r="818" spans="1:13" x14ac:dyDescent="0.3">
      <c r="A818">
        <v>100817</v>
      </c>
      <c r="B818">
        <v>45</v>
      </c>
      <c r="C818" t="str">
        <f t="shared" si="12"/>
        <v>41-60</v>
      </c>
      <c r="D818" t="s">
        <v>12</v>
      </c>
      <c r="E818" t="s">
        <v>18</v>
      </c>
      <c r="F818" t="s">
        <v>21</v>
      </c>
      <c r="G818" t="s">
        <v>27</v>
      </c>
      <c r="H818">
        <v>8</v>
      </c>
      <c r="I818">
        <v>2463</v>
      </c>
      <c r="J818" t="s">
        <v>29</v>
      </c>
      <c r="K818" t="s">
        <v>30</v>
      </c>
      <c r="L818" t="s">
        <v>33</v>
      </c>
      <c r="M818">
        <v>3</v>
      </c>
    </row>
    <row r="819" spans="1:13" x14ac:dyDescent="0.3">
      <c r="A819">
        <v>100818</v>
      </c>
      <c r="B819">
        <v>27</v>
      </c>
      <c r="C819" t="str">
        <f t="shared" si="12"/>
        <v>19-40</v>
      </c>
      <c r="D819" t="s">
        <v>13</v>
      </c>
      <c r="E819" t="s">
        <v>15</v>
      </c>
      <c r="F819" t="s">
        <v>24</v>
      </c>
      <c r="G819" t="s">
        <v>27</v>
      </c>
      <c r="H819">
        <v>18</v>
      </c>
      <c r="I819">
        <v>165045</v>
      </c>
      <c r="J819" t="s">
        <v>28</v>
      </c>
      <c r="K819" t="s">
        <v>30</v>
      </c>
      <c r="L819" t="s">
        <v>34</v>
      </c>
      <c r="M819">
        <v>1</v>
      </c>
    </row>
    <row r="820" spans="1:13" x14ac:dyDescent="0.3">
      <c r="A820">
        <v>100819</v>
      </c>
      <c r="B820">
        <v>73</v>
      </c>
      <c r="C820" t="str">
        <f t="shared" si="12"/>
        <v>60+</v>
      </c>
      <c r="D820" t="s">
        <v>13</v>
      </c>
      <c r="E820" t="s">
        <v>18</v>
      </c>
      <c r="F820" t="s">
        <v>20</v>
      </c>
      <c r="G820" t="s">
        <v>27</v>
      </c>
      <c r="H820">
        <v>11</v>
      </c>
      <c r="I820">
        <v>76694</v>
      </c>
      <c r="J820" t="s">
        <v>29</v>
      </c>
      <c r="K820" t="s">
        <v>31</v>
      </c>
      <c r="L820" t="s">
        <v>33</v>
      </c>
      <c r="M820">
        <v>2</v>
      </c>
    </row>
    <row r="821" spans="1:13" x14ac:dyDescent="0.3">
      <c r="A821">
        <v>100820</v>
      </c>
      <c r="B821">
        <v>26</v>
      </c>
      <c r="C821" t="str">
        <f t="shared" si="12"/>
        <v>19-40</v>
      </c>
      <c r="D821" t="s">
        <v>13</v>
      </c>
      <c r="E821" t="s">
        <v>15</v>
      </c>
      <c r="F821" t="s">
        <v>22</v>
      </c>
      <c r="G821" t="s">
        <v>26</v>
      </c>
      <c r="H821">
        <v>11</v>
      </c>
      <c r="I821">
        <v>153723</v>
      </c>
      <c r="J821" t="s">
        <v>28</v>
      </c>
      <c r="K821" t="s">
        <v>30</v>
      </c>
      <c r="L821" t="s">
        <v>32</v>
      </c>
      <c r="M821">
        <v>1</v>
      </c>
    </row>
    <row r="822" spans="1:13" x14ac:dyDescent="0.3">
      <c r="A822">
        <v>100821</v>
      </c>
      <c r="B822">
        <v>47</v>
      </c>
      <c r="C822" t="str">
        <f t="shared" si="12"/>
        <v>41-60</v>
      </c>
      <c r="D822" t="s">
        <v>12</v>
      </c>
      <c r="E822" t="s">
        <v>14</v>
      </c>
      <c r="F822" t="s">
        <v>20</v>
      </c>
      <c r="G822" t="s">
        <v>26</v>
      </c>
      <c r="H822">
        <v>13</v>
      </c>
      <c r="I822">
        <v>70694</v>
      </c>
      <c r="J822" t="s">
        <v>29</v>
      </c>
      <c r="K822" t="s">
        <v>30</v>
      </c>
      <c r="L822" t="s">
        <v>33</v>
      </c>
      <c r="M822">
        <v>3</v>
      </c>
    </row>
    <row r="823" spans="1:13" x14ac:dyDescent="0.3">
      <c r="A823">
        <v>100822</v>
      </c>
      <c r="B823">
        <v>86</v>
      </c>
      <c r="C823" t="str">
        <f t="shared" si="12"/>
        <v>60+</v>
      </c>
      <c r="D823" t="s">
        <v>13</v>
      </c>
      <c r="E823" t="s">
        <v>14</v>
      </c>
      <c r="F823" t="s">
        <v>21</v>
      </c>
      <c r="G823" t="s">
        <v>27</v>
      </c>
      <c r="H823">
        <v>3</v>
      </c>
      <c r="I823">
        <v>22008</v>
      </c>
      <c r="J823" t="s">
        <v>28</v>
      </c>
      <c r="K823" t="s">
        <v>30</v>
      </c>
      <c r="L823" t="s">
        <v>32</v>
      </c>
      <c r="M823">
        <v>4</v>
      </c>
    </row>
    <row r="824" spans="1:13" x14ac:dyDescent="0.3">
      <c r="A824">
        <v>100823</v>
      </c>
      <c r="B824">
        <v>56</v>
      </c>
      <c r="C824" t="str">
        <f t="shared" si="12"/>
        <v>41-60</v>
      </c>
      <c r="D824" t="s">
        <v>13</v>
      </c>
      <c r="E824" t="s">
        <v>14</v>
      </c>
      <c r="F824" t="s">
        <v>24</v>
      </c>
      <c r="G824" t="s">
        <v>25</v>
      </c>
      <c r="H824">
        <v>12</v>
      </c>
      <c r="I824">
        <v>244810</v>
      </c>
      <c r="J824" t="s">
        <v>28</v>
      </c>
      <c r="K824" t="s">
        <v>8</v>
      </c>
      <c r="L824" t="s">
        <v>35</v>
      </c>
      <c r="M824">
        <v>1</v>
      </c>
    </row>
    <row r="825" spans="1:13" x14ac:dyDescent="0.3">
      <c r="A825">
        <v>100824</v>
      </c>
      <c r="B825">
        <v>63</v>
      </c>
      <c r="C825" t="str">
        <f t="shared" si="12"/>
        <v>60+</v>
      </c>
      <c r="D825" t="s">
        <v>13</v>
      </c>
      <c r="E825" t="s">
        <v>14</v>
      </c>
      <c r="F825" t="s">
        <v>24</v>
      </c>
      <c r="G825" t="s">
        <v>27</v>
      </c>
      <c r="H825">
        <v>3</v>
      </c>
      <c r="I825">
        <v>72474</v>
      </c>
      <c r="J825" t="s">
        <v>29</v>
      </c>
      <c r="K825" t="s">
        <v>30</v>
      </c>
      <c r="L825" t="s">
        <v>35</v>
      </c>
      <c r="M825">
        <v>1</v>
      </c>
    </row>
    <row r="826" spans="1:13" x14ac:dyDescent="0.3">
      <c r="A826">
        <v>100825</v>
      </c>
      <c r="B826">
        <v>48</v>
      </c>
      <c r="C826" t="str">
        <f t="shared" si="12"/>
        <v>41-60</v>
      </c>
      <c r="D826" t="s">
        <v>13</v>
      </c>
      <c r="E826" t="s">
        <v>14</v>
      </c>
      <c r="F826" t="s">
        <v>24</v>
      </c>
      <c r="G826" t="s">
        <v>26</v>
      </c>
      <c r="H826">
        <v>10</v>
      </c>
      <c r="I826">
        <v>40185</v>
      </c>
      <c r="J826" t="s">
        <v>29</v>
      </c>
      <c r="K826" t="s">
        <v>31</v>
      </c>
      <c r="L826" t="s">
        <v>32</v>
      </c>
      <c r="M826">
        <v>1</v>
      </c>
    </row>
    <row r="827" spans="1:13" x14ac:dyDescent="0.3">
      <c r="A827">
        <v>100826</v>
      </c>
      <c r="B827">
        <v>61</v>
      </c>
      <c r="C827" t="str">
        <f t="shared" si="12"/>
        <v>60+</v>
      </c>
      <c r="D827" t="s">
        <v>13</v>
      </c>
      <c r="E827" t="s">
        <v>14</v>
      </c>
      <c r="F827" t="s">
        <v>21</v>
      </c>
      <c r="G827" t="s">
        <v>27</v>
      </c>
      <c r="H827">
        <v>17</v>
      </c>
      <c r="I827">
        <v>89924</v>
      </c>
      <c r="J827" t="s">
        <v>29</v>
      </c>
      <c r="K827" t="s">
        <v>31</v>
      </c>
      <c r="L827" t="s">
        <v>34</v>
      </c>
      <c r="M827">
        <v>1</v>
      </c>
    </row>
    <row r="828" spans="1:13" x14ac:dyDescent="0.3">
      <c r="A828">
        <v>100827</v>
      </c>
      <c r="B828">
        <v>81</v>
      </c>
      <c r="C828" t="str">
        <f t="shared" si="12"/>
        <v>60+</v>
      </c>
      <c r="D828" t="s">
        <v>13</v>
      </c>
      <c r="E828" t="s">
        <v>18</v>
      </c>
      <c r="F828" t="s">
        <v>23</v>
      </c>
      <c r="G828" t="s">
        <v>26</v>
      </c>
      <c r="H828">
        <v>2</v>
      </c>
      <c r="I828">
        <v>207489</v>
      </c>
      <c r="J828" t="s">
        <v>29</v>
      </c>
      <c r="K828" t="s">
        <v>30</v>
      </c>
      <c r="L828" t="s">
        <v>33</v>
      </c>
      <c r="M828">
        <v>3</v>
      </c>
    </row>
    <row r="829" spans="1:13" x14ac:dyDescent="0.3">
      <c r="A829">
        <v>100828</v>
      </c>
      <c r="B829">
        <v>26</v>
      </c>
      <c r="C829" t="str">
        <f t="shared" si="12"/>
        <v>19-40</v>
      </c>
      <c r="D829" t="s">
        <v>12</v>
      </c>
      <c r="E829" t="s">
        <v>19</v>
      </c>
      <c r="F829" t="s">
        <v>23</v>
      </c>
      <c r="G829" t="s">
        <v>26</v>
      </c>
      <c r="H829">
        <v>17</v>
      </c>
      <c r="I829">
        <v>204211</v>
      </c>
      <c r="J829" t="s">
        <v>29</v>
      </c>
      <c r="K829" t="s">
        <v>31</v>
      </c>
      <c r="L829" t="s">
        <v>34</v>
      </c>
      <c r="M829">
        <v>5</v>
      </c>
    </row>
    <row r="830" spans="1:13" x14ac:dyDescent="0.3">
      <c r="A830">
        <v>100829</v>
      </c>
      <c r="B830">
        <v>36</v>
      </c>
      <c r="C830" t="str">
        <f t="shared" si="12"/>
        <v>19-40</v>
      </c>
      <c r="D830" t="s">
        <v>12</v>
      </c>
      <c r="E830" t="s">
        <v>15</v>
      </c>
      <c r="F830" t="s">
        <v>20</v>
      </c>
      <c r="G830" t="s">
        <v>26</v>
      </c>
      <c r="H830">
        <v>16</v>
      </c>
      <c r="I830">
        <v>36980</v>
      </c>
      <c r="J830" t="s">
        <v>28</v>
      </c>
      <c r="K830" t="s">
        <v>8</v>
      </c>
      <c r="L830" t="s">
        <v>33</v>
      </c>
      <c r="M830">
        <v>5</v>
      </c>
    </row>
    <row r="831" spans="1:13" x14ac:dyDescent="0.3">
      <c r="A831">
        <v>100830</v>
      </c>
      <c r="B831">
        <v>1</v>
      </c>
      <c r="C831" t="str">
        <f t="shared" si="12"/>
        <v>0-18</v>
      </c>
      <c r="D831" t="s">
        <v>13</v>
      </c>
      <c r="E831" t="s">
        <v>14</v>
      </c>
      <c r="F831" t="s">
        <v>23</v>
      </c>
      <c r="G831" t="s">
        <v>27</v>
      </c>
      <c r="H831">
        <v>2</v>
      </c>
      <c r="I831">
        <v>24504</v>
      </c>
      <c r="J831" t="s">
        <v>29</v>
      </c>
      <c r="K831" t="s">
        <v>30</v>
      </c>
      <c r="L831" t="s">
        <v>35</v>
      </c>
      <c r="M831">
        <v>1</v>
      </c>
    </row>
    <row r="832" spans="1:13" x14ac:dyDescent="0.3">
      <c r="A832">
        <v>100831</v>
      </c>
      <c r="B832">
        <v>8</v>
      </c>
      <c r="C832" t="str">
        <f t="shared" si="12"/>
        <v>0-18</v>
      </c>
      <c r="D832" t="s">
        <v>13</v>
      </c>
      <c r="E832" t="s">
        <v>18</v>
      </c>
      <c r="F832" t="s">
        <v>23</v>
      </c>
      <c r="G832" t="s">
        <v>26</v>
      </c>
      <c r="H832">
        <v>6</v>
      </c>
      <c r="I832">
        <v>56970</v>
      </c>
      <c r="J832" t="s">
        <v>29</v>
      </c>
      <c r="K832" t="s">
        <v>31</v>
      </c>
      <c r="L832" t="s">
        <v>35</v>
      </c>
      <c r="M832">
        <v>3</v>
      </c>
    </row>
    <row r="833" spans="1:13" x14ac:dyDescent="0.3">
      <c r="A833">
        <v>100832</v>
      </c>
      <c r="B833">
        <v>52</v>
      </c>
      <c r="C833" t="str">
        <f t="shared" si="12"/>
        <v>41-60</v>
      </c>
      <c r="D833" t="s">
        <v>12</v>
      </c>
      <c r="E833" t="s">
        <v>18</v>
      </c>
      <c r="F833" t="s">
        <v>24</v>
      </c>
      <c r="G833" t="s">
        <v>26</v>
      </c>
      <c r="H833">
        <v>10</v>
      </c>
      <c r="I833">
        <v>18766</v>
      </c>
      <c r="J833" t="s">
        <v>29</v>
      </c>
      <c r="K833" t="s">
        <v>31</v>
      </c>
      <c r="L833" t="s">
        <v>35</v>
      </c>
      <c r="M833">
        <v>3</v>
      </c>
    </row>
    <row r="834" spans="1:13" x14ac:dyDescent="0.3">
      <c r="A834">
        <v>100833</v>
      </c>
      <c r="B834">
        <v>79</v>
      </c>
      <c r="C834" t="str">
        <f t="shared" ref="C834:C897" si="13">IF(B834&lt;=18,"0-18",IF(B834&lt;=40,"19-40",IF(B834&lt;=60,"41-60","60+")))</f>
        <v>60+</v>
      </c>
      <c r="D834" t="s">
        <v>12</v>
      </c>
      <c r="E834" t="s">
        <v>18</v>
      </c>
      <c r="F834" t="s">
        <v>24</v>
      </c>
      <c r="G834" t="s">
        <v>27</v>
      </c>
      <c r="H834">
        <v>10</v>
      </c>
      <c r="I834">
        <v>118944</v>
      </c>
      <c r="J834" t="s">
        <v>29</v>
      </c>
      <c r="K834" t="s">
        <v>30</v>
      </c>
      <c r="L834" t="s">
        <v>33</v>
      </c>
      <c r="M834">
        <v>1</v>
      </c>
    </row>
    <row r="835" spans="1:13" x14ac:dyDescent="0.3">
      <c r="A835">
        <v>100834</v>
      </c>
      <c r="B835">
        <v>47</v>
      </c>
      <c r="C835" t="str">
        <f t="shared" si="13"/>
        <v>41-60</v>
      </c>
      <c r="D835" t="s">
        <v>13</v>
      </c>
      <c r="E835" t="s">
        <v>19</v>
      </c>
      <c r="F835" t="s">
        <v>20</v>
      </c>
      <c r="G835" t="s">
        <v>26</v>
      </c>
      <c r="H835">
        <v>8</v>
      </c>
      <c r="I835">
        <v>95922</v>
      </c>
      <c r="J835" t="s">
        <v>29</v>
      </c>
      <c r="K835" t="s">
        <v>31</v>
      </c>
      <c r="L835" t="s">
        <v>35</v>
      </c>
      <c r="M835">
        <v>2</v>
      </c>
    </row>
    <row r="836" spans="1:13" x14ac:dyDescent="0.3">
      <c r="A836">
        <v>100835</v>
      </c>
      <c r="B836">
        <v>56</v>
      </c>
      <c r="C836" t="str">
        <f t="shared" si="13"/>
        <v>41-60</v>
      </c>
      <c r="D836" t="s">
        <v>13</v>
      </c>
      <c r="E836" t="s">
        <v>15</v>
      </c>
      <c r="F836" t="s">
        <v>22</v>
      </c>
      <c r="G836" t="s">
        <v>27</v>
      </c>
      <c r="H836">
        <v>1</v>
      </c>
      <c r="I836">
        <v>144767</v>
      </c>
      <c r="J836" t="s">
        <v>28</v>
      </c>
      <c r="K836" t="s">
        <v>30</v>
      </c>
      <c r="L836" t="s">
        <v>35</v>
      </c>
      <c r="M836">
        <v>1</v>
      </c>
    </row>
    <row r="837" spans="1:13" x14ac:dyDescent="0.3">
      <c r="A837">
        <v>100836</v>
      </c>
      <c r="B837">
        <v>86</v>
      </c>
      <c r="C837" t="str">
        <f t="shared" si="13"/>
        <v>60+</v>
      </c>
      <c r="D837" t="s">
        <v>13</v>
      </c>
      <c r="E837" t="s">
        <v>19</v>
      </c>
      <c r="F837" t="s">
        <v>20</v>
      </c>
      <c r="G837" t="s">
        <v>26</v>
      </c>
      <c r="H837">
        <v>13</v>
      </c>
      <c r="I837">
        <v>150868</v>
      </c>
      <c r="J837" t="s">
        <v>29</v>
      </c>
      <c r="K837" t="s">
        <v>31</v>
      </c>
      <c r="L837" t="s">
        <v>35</v>
      </c>
      <c r="M837">
        <v>2</v>
      </c>
    </row>
    <row r="838" spans="1:13" x14ac:dyDescent="0.3">
      <c r="A838">
        <v>100837</v>
      </c>
      <c r="B838">
        <v>14</v>
      </c>
      <c r="C838" t="str">
        <f t="shared" si="13"/>
        <v>0-18</v>
      </c>
      <c r="D838" t="s">
        <v>13</v>
      </c>
      <c r="E838" t="s">
        <v>16</v>
      </c>
      <c r="F838" t="s">
        <v>20</v>
      </c>
      <c r="G838" t="s">
        <v>25</v>
      </c>
      <c r="H838">
        <v>9</v>
      </c>
      <c r="I838">
        <v>175615</v>
      </c>
      <c r="J838" t="s">
        <v>29</v>
      </c>
      <c r="K838" t="s">
        <v>8</v>
      </c>
      <c r="L838" t="s">
        <v>35</v>
      </c>
      <c r="M838">
        <v>1</v>
      </c>
    </row>
    <row r="839" spans="1:13" x14ac:dyDescent="0.3">
      <c r="A839">
        <v>100838</v>
      </c>
      <c r="B839">
        <v>28</v>
      </c>
      <c r="C839" t="str">
        <f t="shared" si="13"/>
        <v>19-40</v>
      </c>
      <c r="D839" t="s">
        <v>12</v>
      </c>
      <c r="E839" t="s">
        <v>18</v>
      </c>
      <c r="F839" t="s">
        <v>21</v>
      </c>
      <c r="G839" t="s">
        <v>25</v>
      </c>
      <c r="H839">
        <v>10</v>
      </c>
      <c r="I839">
        <v>147631</v>
      </c>
      <c r="J839" t="s">
        <v>29</v>
      </c>
      <c r="K839" t="s">
        <v>31</v>
      </c>
      <c r="L839" t="s">
        <v>34</v>
      </c>
      <c r="M839">
        <v>2</v>
      </c>
    </row>
    <row r="840" spans="1:13" x14ac:dyDescent="0.3">
      <c r="A840">
        <v>100839</v>
      </c>
      <c r="B840">
        <v>87</v>
      </c>
      <c r="C840" t="str">
        <f t="shared" si="13"/>
        <v>60+</v>
      </c>
      <c r="D840" t="s">
        <v>13</v>
      </c>
      <c r="E840" t="s">
        <v>16</v>
      </c>
      <c r="F840" t="s">
        <v>21</v>
      </c>
      <c r="G840" t="s">
        <v>26</v>
      </c>
      <c r="H840">
        <v>15</v>
      </c>
      <c r="I840">
        <v>237522</v>
      </c>
      <c r="J840" t="s">
        <v>28</v>
      </c>
      <c r="K840" t="s">
        <v>31</v>
      </c>
      <c r="L840" t="s">
        <v>35</v>
      </c>
      <c r="M840">
        <v>2</v>
      </c>
    </row>
    <row r="841" spans="1:13" x14ac:dyDescent="0.3">
      <c r="A841">
        <v>100840</v>
      </c>
      <c r="B841">
        <v>78</v>
      </c>
      <c r="C841" t="str">
        <f t="shared" si="13"/>
        <v>60+</v>
      </c>
      <c r="D841" t="s">
        <v>13</v>
      </c>
      <c r="E841" t="s">
        <v>17</v>
      </c>
      <c r="F841" t="s">
        <v>20</v>
      </c>
      <c r="G841" t="s">
        <v>25</v>
      </c>
      <c r="H841">
        <v>5</v>
      </c>
      <c r="I841">
        <v>166211</v>
      </c>
      <c r="J841" t="s">
        <v>28</v>
      </c>
      <c r="K841" t="s">
        <v>30</v>
      </c>
      <c r="L841" t="s">
        <v>35</v>
      </c>
      <c r="M841">
        <v>1</v>
      </c>
    </row>
    <row r="842" spans="1:13" x14ac:dyDescent="0.3">
      <c r="A842">
        <v>100841</v>
      </c>
      <c r="B842">
        <v>88</v>
      </c>
      <c r="C842" t="str">
        <f t="shared" si="13"/>
        <v>60+</v>
      </c>
      <c r="D842" t="s">
        <v>13</v>
      </c>
      <c r="E842" t="s">
        <v>14</v>
      </c>
      <c r="F842" t="s">
        <v>20</v>
      </c>
      <c r="G842" t="s">
        <v>27</v>
      </c>
      <c r="H842">
        <v>16</v>
      </c>
      <c r="I842">
        <v>122494</v>
      </c>
      <c r="J842" t="s">
        <v>29</v>
      </c>
      <c r="K842" t="s">
        <v>31</v>
      </c>
      <c r="L842" t="s">
        <v>34</v>
      </c>
      <c r="M842">
        <v>2</v>
      </c>
    </row>
    <row r="843" spans="1:13" x14ac:dyDescent="0.3">
      <c r="A843">
        <v>100842</v>
      </c>
      <c r="B843">
        <v>2</v>
      </c>
      <c r="C843" t="str">
        <f t="shared" si="13"/>
        <v>0-18</v>
      </c>
      <c r="D843" t="s">
        <v>13</v>
      </c>
      <c r="E843" t="s">
        <v>14</v>
      </c>
      <c r="F843" t="s">
        <v>20</v>
      </c>
      <c r="G843" t="s">
        <v>25</v>
      </c>
      <c r="H843">
        <v>13</v>
      </c>
      <c r="I843">
        <v>236941</v>
      </c>
      <c r="J843" t="s">
        <v>29</v>
      </c>
      <c r="K843" t="s">
        <v>30</v>
      </c>
      <c r="L843" t="s">
        <v>34</v>
      </c>
      <c r="M843">
        <v>4</v>
      </c>
    </row>
    <row r="844" spans="1:13" x14ac:dyDescent="0.3">
      <c r="A844">
        <v>100843</v>
      </c>
      <c r="B844">
        <v>26</v>
      </c>
      <c r="C844" t="str">
        <f t="shared" si="13"/>
        <v>19-40</v>
      </c>
      <c r="D844" t="s">
        <v>12</v>
      </c>
      <c r="E844" t="s">
        <v>19</v>
      </c>
      <c r="F844" t="s">
        <v>23</v>
      </c>
      <c r="G844" t="s">
        <v>26</v>
      </c>
      <c r="H844">
        <v>18</v>
      </c>
      <c r="I844">
        <v>10802</v>
      </c>
      <c r="J844" t="s">
        <v>28</v>
      </c>
      <c r="K844" t="s">
        <v>8</v>
      </c>
      <c r="L844" t="s">
        <v>33</v>
      </c>
      <c r="M844">
        <v>5</v>
      </c>
    </row>
    <row r="845" spans="1:13" x14ac:dyDescent="0.3">
      <c r="A845">
        <v>100844</v>
      </c>
      <c r="B845">
        <v>14</v>
      </c>
      <c r="C845" t="str">
        <f t="shared" si="13"/>
        <v>0-18</v>
      </c>
      <c r="D845" t="s">
        <v>12</v>
      </c>
      <c r="E845" t="s">
        <v>15</v>
      </c>
      <c r="F845" t="s">
        <v>21</v>
      </c>
      <c r="G845" t="s">
        <v>26</v>
      </c>
      <c r="H845">
        <v>11</v>
      </c>
      <c r="I845">
        <v>206915</v>
      </c>
      <c r="J845" t="s">
        <v>28</v>
      </c>
      <c r="K845" t="s">
        <v>30</v>
      </c>
      <c r="L845" t="s">
        <v>32</v>
      </c>
      <c r="M845">
        <v>3</v>
      </c>
    </row>
    <row r="846" spans="1:13" x14ac:dyDescent="0.3">
      <c r="A846">
        <v>100845</v>
      </c>
      <c r="B846">
        <v>59</v>
      </c>
      <c r="C846" t="str">
        <f t="shared" si="13"/>
        <v>41-60</v>
      </c>
      <c r="D846" t="s">
        <v>12</v>
      </c>
      <c r="E846" t="s">
        <v>16</v>
      </c>
      <c r="F846" t="s">
        <v>20</v>
      </c>
      <c r="G846" t="s">
        <v>27</v>
      </c>
      <c r="H846">
        <v>9</v>
      </c>
      <c r="I846">
        <v>173277</v>
      </c>
      <c r="J846" t="s">
        <v>28</v>
      </c>
      <c r="K846" t="s">
        <v>30</v>
      </c>
      <c r="L846" t="s">
        <v>35</v>
      </c>
      <c r="M846">
        <v>2</v>
      </c>
    </row>
    <row r="847" spans="1:13" x14ac:dyDescent="0.3">
      <c r="A847">
        <v>100846</v>
      </c>
      <c r="B847">
        <v>56</v>
      </c>
      <c r="C847" t="str">
        <f t="shared" si="13"/>
        <v>41-60</v>
      </c>
      <c r="D847" t="s">
        <v>13</v>
      </c>
      <c r="E847" t="s">
        <v>15</v>
      </c>
      <c r="F847" t="s">
        <v>24</v>
      </c>
      <c r="G847" t="s">
        <v>26</v>
      </c>
      <c r="H847">
        <v>16</v>
      </c>
      <c r="I847">
        <v>231822</v>
      </c>
      <c r="J847" t="s">
        <v>29</v>
      </c>
      <c r="K847" t="s">
        <v>31</v>
      </c>
      <c r="L847" t="s">
        <v>35</v>
      </c>
      <c r="M847">
        <v>2</v>
      </c>
    </row>
    <row r="848" spans="1:13" x14ac:dyDescent="0.3">
      <c r="A848">
        <v>100847</v>
      </c>
      <c r="B848">
        <v>7</v>
      </c>
      <c r="C848" t="str">
        <f t="shared" si="13"/>
        <v>0-18</v>
      </c>
      <c r="D848" t="s">
        <v>13</v>
      </c>
      <c r="E848" t="s">
        <v>19</v>
      </c>
      <c r="F848" t="s">
        <v>24</v>
      </c>
      <c r="G848" t="s">
        <v>27</v>
      </c>
      <c r="H848">
        <v>2</v>
      </c>
      <c r="I848">
        <v>36159</v>
      </c>
      <c r="J848" t="s">
        <v>29</v>
      </c>
      <c r="K848" t="s">
        <v>8</v>
      </c>
      <c r="L848" t="s">
        <v>35</v>
      </c>
      <c r="M848">
        <v>3</v>
      </c>
    </row>
    <row r="849" spans="1:13" x14ac:dyDescent="0.3">
      <c r="A849">
        <v>100848</v>
      </c>
      <c r="B849">
        <v>3</v>
      </c>
      <c r="C849" t="str">
        <f t="shared" si="13"/>
        <v>0-18</v>
      </c>
      <c r="D849" t="s">
        <v>12</v>
      </c>
      <c r="E849" t="s">
        <v>14</v>
      </c>
      <c r="F849" t="s">
        <v>23</v>
      </c>
      <c r="G849" t="s">
        <v>25</v>
      </c>
      <c r="H849">
        <v>2</v>
      </c>
      <c r="I849">
        <v>13516</v>
      </c>
      <c r="J849" t="s">
        <v>28</v>
      </c>
      <c r="K849" t="s">
        <v>30</v>
      </c>
      <c r="L849" t="s">
        <v>33</v>
      </c>
      <c r="M849">
        <v>2</v>
      </c>
    </row>
    <row r="850" spans="1:13" x14ac:dyDescent="0.3">
      <c r="A850">
        <v>100849</v>
      </c>
      <c r="B850">
        <v>23</v>
      </c>
      <c r="C850" t="str">
        <f t="shared" si="13"/>
        <v>19-40</v>
      </c>
      <c r="D850" t="s">
        <v>13</v>
      </c>
      <c r="E850" t="s">
        <v>15</v>
      </c>
      <c r="F850" t="s">
        <v>23</v>
      </c>
      <c r="G850" t="s">
        <v>25</v>
      </c>
      <c r="H850">
        <v>12</v>
      </c>
      <c r="I850">
        <v>52492</v>
      </c>
      <c r="J850" t="s">
        <v>29</v>
      </c>
      <c r="K850" t="s">
        <v>31</v>
      </c>
      <c r="L850" t="s">
        <v>35</v>
      </c>
      <c r="M850">
        <v>3</v>
      </c>
    </row>
    <row r="851" spans="1:13" x14ac:dyDescent="0.3">
      <c r="A851">
        <v>100850</v>
      </c>
      <c r="B851">
        <v>18</v>
      </c>
      <c r="C851" t="str">
        <f t="shared" si="13"/>
        <v>0-18</v>
      </c>
      <c r="D851" t="s">
        <v>13</v>
      </c>
      <c r="E851" t="s">
        <v>15</v>
      </c>
      <c r="F851" t="s">
        <v>22</v>
      </c>
      <c r="G851" t="s">
        <v>27</v>
      </c>
      <c r="H851">
        <v>8</v>
      </c>
      <c r="I851">
        <v>31086</v>
      </c>
      <c r="J851" t="s">
        <v>28</v>
      </c>
      <c r="K851" t="s">
        <v>31</v>
      </c>
      <c r="L851" t="s">
        <v>32</v>
      </c>
      <c r="M851">
        <v>1</v>
      </c>
    </row>
    <row r="852" spans="1:13" x14ac:dyDescent="0.3">
      <c r="A852">
        <v>100851</v>
      </c>
      <c r="B852">
        <v>38</v>
      </c>
      <c r="C852" t="str">
        <f t="shared" si="13"/>
        <v>19-40</v>
      </c>
      <c r="D852" t="s">
        <v>12</v>
      </c>
      <c r="E852" t="s">
        <v>14</v>
      </c>
      <c r="F852" t="s">
        <v>22</v>
      </c>
      <c r="G852" t="s">
        <v>27</v>
      </c>
      <c r="H852">
        <v>9</v>
      </c>
      <c r="I852">
        <v>115758</v>
      </c>
      <c r="J852" t="s">
        <v>28</v>
      </c>
      <c r="K852" t="s">
        <v>30</v>
      </c>
      <c r="L852" t="s">
        <v>34</v>
      </c>
      <c r="M852">
        <v>4</v>
      </c>
    </row>
    <row r="853" spans="1:13" x14ac:dyDescent="0.3">
      <c r="A853">
        <v>100852</v>
      </c>
      <c r="B853">
        <v>15</v>
      </c>
      <c r="C853" t="str">
        <f t="shared" si="13"/>
        <v>0-18</v>
      </c>
      <c r="D853" t="s">
        <v>12</v>
      </c>
      <c r="E853" t="s">
        <v>16</v>
      </c>
      <c r="F853" t="s">
        <v>22</v>
      </c>
      <c r="G853" t="s">
        <v>26</v>
      </c>
      <c r="H853">
        <v>12</v>
      </c>
      <c r="I853">
        <v>32480</v>
      </c>
      <c r="J853" t="s">
        <v>28</v>
      </c>
      <c r="K853" t="s">
        <v>31</v>
      </c>
      <c r="L853" t="s">
        <v>33</v>
      </c>
      <c r="M853">
        <v>4</v>
      </c>
    </row>
    <row r="854" spans="1:13" x14ac:dyDescent="0.3">
      <c r="A854">
        <v>100853</v>
      </c>
      <c r="B854">
        <v>64</v>
      </c>
      <c r="C854" t="str">
        <f t="shared" si="13"/>
        <v>60+</v>
      </c>
      <c r="D854" t="s">
        <v>12</v>
      </c>
      <c r="E854" t="s">
        <v>14</v>
      </c>
      <c r="F854" t="s">
        <v>23</v>
      </c>
      <c r="G854" t="s">
        <v>25</v>
      </c>
      <c r="H854">
        <v>9</v>
      </c>
      <c r="I854">
        <v>185163</v>
      </c>
      <c r="J854" t="s">
        <v>29</v>
      </c>
      <c r="K854" t="s">
        <v>30</v>
      </c>
      <c r="L854" t="s">
        <v>34</v>
      </c>
      <c r="M854">
        <v>5</v>
      </c>
    </row>
    <row r="855" spans="1:13" x14ac:dyDescent="0.3">
      <c r="A855">
        <v>100854</v>
      </c>
      <c r="B855">
        <v>89</v>
      </c>
      <c r="C855" t="str">
        <f t="shared" si="13"/>
        <v>60+</v>
      </c>
      <c r="D855" t="s">
        <v>12</v>
      </c>
      <c r="E855" t="s">
        <v>15</v>
      </c>
      <c r="F855" t="s">
        <v>23</v>
      </c>
      <c r="G855" t="s">
        <v>27</v>
      </c>
      <c r="H855">
        <v>10</v>
      </c>
      <c r="I855">
        <v>130023</v>
      </c>
      <c r="J855" t="s">
        <v>28</v>
      </c>
      <c r="K855" t="s">
        <v>30</v>
      </c>
      <c r="L855" t="s">
        <v>35</v>
      </c>
      <c r="M855">
        <v>2</v>
      </c>
    </row>
    <row r="856" spans="1:13" x14ac:dyDescent="0.3">
      <c r="A856">
        <v>100855</v>
      </c>
      <c r="B856">
        <v>28</v>
      </c>
      <c r="C856" t="str">
        <f t="shared" si="13"/>
        <v>19-40</v>
      </c>
      <c r="D856" t="s">
        <v>13</v>
      </c>
      <c r="E856" t="s">
        <v>16</v>
      </c>
      <c r="F856" t="s">
        <v>23</v>
      </c>
      <c r="G856" t="s">
        <v>25</v>
      </c>
      <c r="H856">
        <v>2</v>
      </c>
      <c r="I856">
        <v>112195</v>
      </c>
      <c r="J856" t="s">
        <v>28</v>
      </c>
      <c r="K856" t="s">
        <v>30</v>
      </c>
      <c r="L856" t="s">
        <v>35</v>
      </c>
      <c r="M856">
        <v>5</v>
      </c>
    </row>
    <row r="857" spans="1:13" x14ac:dyDescent="0.3">
      <c r="A857">
        <v>100856</v>
      </c>
      <c r="B857">
        <v>74</v>
      </c>
      <c r="C857" t="str">
        <f t="shared" si="13"/>
        <v>60+</v>
      </c>
      <c r="D857" t="s">
        <v>13</v>
      </c>
      <c r="E857" t="s">
        <v>16</v>
      </c>
      <c r="F857" t="s">
        <v>24</v>
      </c>
      <c r="G857" t="s">
        <v>27</v>
      </c>
      <c r="H857">
        <v>16</v>
      </c>
      <c r="I857">
        <v>180838</v>
      </c>
      <c r="J857" t="s">
        <v>29</v>
      </c>
      <c r="K857" t="s">
        <v>8</v>
      </c>
      <c r="L857" t="s">
        <v>35</v>
      </c>
      <c r="M857">
        <v>1</v>
      </c>
    </row>
    <row r="858" spans="1:13" x14ac:dyDescent="0.3">
      <c r="A858">
        <v>100857</v>
      </c>
      <c r="B858">
        <v>39</v>
      </c>
      <c r="C858" t="str">
        <f t="shared" si="13"/>
        <v>19-40</v>
      </c>
      <c r="D858" t="s">
        <v>12</v>
      </c>
      <c r="E858" t="s">
        <v>14</v>
      </c>
      <c r="F858" t="s">
        <v>23</v>
      </c>
      <c r="G858" t="s">
        <v>25</v>
      </c>
      <c r="H858">
        <v>7</v>
      </c>
      <c r="I858">
        <v>40737</v>
      </c>
      <c r="J858" t="s">
        <v>28</v>
      </c>
      <c r="K858" t="s">
        <v>30</v>
      </c>
      <c r="L858" t="s">
        <v>32</v>
      </c>
      <c r="M858">
        <v>4</v>
      </c>
    </row>
    <row r="859" spans="1:13" x14ac:dyDescent="0.3">
      <c r="A859">
        <v>100858</v>
      </c>
      <c r="B859">
        <v>57</v>
      </c>
      <c r="C859" t="str">
        <f t="shared" si="13"/>
        <v>41-60</v>
      </c>
      <c r="D859" t="s">
        <v>13</v>
      </c>
      <c r="E859" t="s">
        <v>15</v>
      </c>
      <c r="F859" t="s">
        <v>24</v>
      </c>
      <c r="G859" t="s">
        <v>26</v>
      </c>
      <c r="H859">
        <v>2</v>
      </c>
      <c r="I859">
        <v>11265</v>
      </c>
      <c r="J859" t="s">
        <v>29</v>
      </c>
      <c r="K859" t="s">
        <v>31</v>
      </c>
      <c r="L859" t="s">
        <v>32</v>
      </c>
      <c r="M859">
        <v>1</v>
      </c>
    </row>
    <row r="860" spans="1:13" x14ac:dyDescent="0.3">
      <c r="A860">
        <v>100859</v>
      </c>
      <c r="B860">
        <v>17</v>
      </c>
      <c r="C860" t="str">
        <f t="shared" si="13"/>
        <v>0-18</v>
      </c>
      <c r="D860" t="s">
        <v>12</v>
      </c>
      <c r="E860" t="s">
        <v>19</v>
      </c>
      <c r="F860" t="s">
        <v>22</v>
      </c>
      <c r="G860" t="s">
        <v>25</v>
      </c>
      <c r="H860">
        <v>1</v>
      </c>
      <c r="I860">
        <v>116165</v>
      </c>
      <c r="J860" t="s">
        <v>28</v>
      </c>
      <c r="K860" t="s">
        <v>8</v>
      </c>
      <c r="L860" t="s">
        <v>33</v>
      </c>
      <c r="M860">
        <v>1</v>
      </c>
    </row>
    <row r="861" spans="1:13" x14ac:dyDescent="0.3">
      <c r="A861">
        <v>100860</v>
      </c>
      <c r="B861">
        <v>86</v>
      </c>
      <c r="C861" t="str">
        <f t="shared" si="13"/>
        <v>60+</v>
      </c>
      <c r="D861" t="s">
        <v>12</v>
      </c>
      <c r="E861" t="s">
        <v>15</v>
      </c>
      <c r="F861" t="s">
        <v>22</v>
      </c>
      <c r="G861" t="s">
        <v>25</v>
      </c>
      <c r="H861">
        <v>19</v>
      </c>
      <c r="I861">
        <v>121501</v>
      </c>
      <c r="J861" t="s">
        <v>29</v>
      </c>
      <c r="K861" t="s">
        <v>31</v>
      </c>
      <c r="L861" t="s">
        <v>34</v>
      </c>
      <c r="M861">
        <v>2</v>
      </c>
    </row>
    <row r="862" spans="1:13" x14ac:dyDescent="0.3">
      <c r="A862">
        <v>100861</v>
      </c>
      <c r="B862">
        <v>44</v>
      </c>
      <c r="C862" t="str">
        <f t="shared" si="13"/>
        <v>41-60</v>
      </c>
      <c r="D862" t="s">
        <v>13</v>
      </c>
      <c r="E862" t="s">
        <v>18</v>
      </c>
      <c r="F862" t="s">
        <v>22</v>
      </c>
      <c r="G862" t="s">
        <v>25</v>
      </c>
      <c r="H862">
        <v>4</v>
      </c>
      <c r="I862">
        <v>72990</v>
      </c>
      <c r="J862" t="s">
        <v>28</v>
      </c>
      <c r="K862" t="s">
        <v>8</v>
      </c>
      <c r="L862" t="s">
        <v>35</v>
      </c>
      <c r="M862">
        <v>1</v>
      </c>
    </row>
    <row r="863" spans="1:13" x14ac:dyDescent="0.3">
      <c r="A863">
        <v>100862</v>
      </c>
      <c r="B863">
        <v>25</v>
      </c>
      <c r="C863" t="str">
        <f t="shared" si="13"/>
        <v>19-40</v>
      </c>
      <c r="D863" t="s">
        <v>12</v>
      </c>
      <c r="E863" t="s">
        <v>17</v>
      </c>
      <c r="F863" t="s">
        <v>20</v>
      </c>
      <c r="G863" t="s">
        <v>25</v>
      </c>
      <c r="H863">
        <v>2</v>
      </c>
      <c r="I863">
        <v>234526</v>
      </c>
      <c r="J863" t="s">
        <v>28</v>
      </c>
      <c r="K863" t="s">
        <v>8</v>
      </c>
      <c r="L863" t="s">
        <v>35</v>
      </c>
      <c r="M863">
        <v>4</v>
      </c>
    </row>
    <row r="864" spans="1:13" x14ac:dyDescent="0.3">
      <c r="A864">
        <v>100863</v>
      </c>
      <c r="B864">
        <v>17</v>
      </c>
      <c r="C864" t="str">
        <f t="shared" si="13"/>
        <v>0-18</v>
      </c>
      <c r="D864" t="s">
        <v>13</v>
      </c>
      <c r="E864" t="s">
        <v>19</v>
      </c>
      <c r="F864" t="s">
        <v>20</v>
      </c>
      <c r="G864" t="s">
        <v>25</v>
      </c>
      <c r="H864">
        <v>14</v>
      </c>
      <c r="I864">
        <v>224789</v>
      </c>
      <c r="J864" t="s">
        <v>28</v>
      </c>
      <c r="K864" t="s">
        <v>8</v>
      </c>
      <c r="L864" t="s">
        <v>35</v>
      </c>
      <c r="M864">
        <v>5</v>
      </c>
    </row>
    <row r="865" spans="1:13" x14ac:dyDescent="0.3">
      <c r="A865">
        <v>100864</v>
      </c>
      <c r="B865">
        <v>13</v>
      </c>
      <c r="C865" t="str">
        <f t="shared" si="13"/>
        <v>0-18</v>
      </c>
      <c r="D865" t="s">
        <v>13</v>
      </c>
      <c r="E865" t="s">
        <v>16</v>
      </c>
      <c r="F865" t="s">
        <v>21</v>
      </c>
      <c r="G865" t="s">
        <v>26</v>
      </c>
      <c r="H865">
        <v>2</v>
      </c>
      <c r="I865">
        <v>17386</v>
      </c>
      <c r="J865" t="s">
        <v>28</v>
      </c>
      <c r="K865" t="s">
        <v>8</v>
      </c>
      <c r="L865" t="s">
        <v>35</v>
      </c>
      <c r="M865">
        <v>4</v>
      </c>
    </row>
    <row r="866" spans="1:13" x14ac:dyDescent="0.3">
      <c r="A866">
        <v>100865</v>
      </c>
      <c r="B866">
        <v>84</v>
      </c>
      <c r="C866" t="str">
        <f t="shared" si="13"/>
        <v>60+</v>
      </c>
      <c r="D866" t="s">
        <v>13</v>
      </c>
      <c r="E866" t="s">
        <v>19</v>
      </c>
      <c r="F866" t="s">
        <v>21</v>
      </c>
      <c r="G866" t="s">
        <v>27</v>
      </c>
      <c r="H866">
        <v>15</v>
      </c>
      <c r="I866">
        <v>106718</v>
      </c>
      <c r="J866" t="s">
        <v>28</v>
      </c>
      <c r="K866" t="s">
        <v>31</v>
      </c>
      <c r="L866" t="s">
        <v>32</v>
      </c>
      <c r="M866">
        <v>2</v>
      </c>
    </row>
    <row r="867" spans="1:13" x14ac:dyDescent="0.3">
      <c r="A867">
        <v>100866</v>
      </c>
      <c r="B867">
        <v>25</v>
      </c>
      <c r="C867" t="str">
        <f t="shared" si="13"/>
        <v>19-40</v>
      </c>
      <c r="D867" t="s">
        <v>13</v>
      </c>
      <c r="E867" t="s">
        <v>16</v>
      </c>
      <c r="F867" t="s">
        <v>21</v>
      </c>
      <c r="G867" t="s">
        <v>25</v>
      </c>
      <c r="H867">
        <v>12</v>
      </c>
      <c r="I867">
        <v>39425</v>
      </c>
      <c r="J867" t="s">
        <v>29</v>
      </c>
      <c r="K867" t="s">
        <v>30</v>
      </c>
      <c r="L867" t="s">
        <v>34</v>
      </c>
      <c r="M867">
        <v>4</v>
      </c>
    </row>
    <row r="868" spans="1:13" x14ac:dyDescent="0.3">
      <c r="A868">
        <v>100867</v>
      </c>
      <c r="B868">
        <v>68</v>
      </c>
      <c r="C868" t="str">
        <f t="shared" si="13"/>
        <v>60+</v>
      </c>
      <c r="D868" t="s">
        <v>12</v>
      </c>
      <c r="E868" t="s">
        <v>16</v>
      </c>
      <c r="F868" t="s">
        <v>20</v>
      </c>
      <c r="G868" t="s">
        <v>26</v>
      </c>
      <c r="H868">
        <v>5</v>
      </c>
      <c r="I868">
        <v>123635</v>
      </c>
      <c r="J868" t="s">
        <v>29</v>
      </c>
      <c r="K868" t="s">
        <v>31</v>
      </c>
      <c r="L868" t="s">
        <v>34</v>
      </c>
      <c r="M868">
        <v>3</v>
      </c>
    </row>
    <row r="869" spans="1:13" x14ac:dyDescent="0.3">
      <c r="A869">
        <v>100868</v>
      </c>
      <c r="B869">
        <v>10</v>
      </c>
      <c r="C869" t="str">
        <f t="shared" si="13"/>
        <v>0-18</v>
      </c>
      <c r="D869" t="s">
        <v>13</v>
      </c>
      <c r="E869" t="s">
        <v>19</v>
      </c>
      <c r="F869" t="s">
        <v>20</v>
      </c>
      <c r="G869" t="s">
        <v>25</v>
      </c>
      <c r="H869">
        <v>7</v>
      </c>
      <c r="I869">
        <v>176326</v>
      </c>
      <c r="J869" t="s">
        <v>28</v>
      </c>
      <c r="K869" t="s">
        <v>30</v>
      </c>
      <c r="L869" t="s">
        <v>33</v>
      </c>
      <c r="M869">
        <v>5</v>
      </c>
    </row>
    <row r="870" spans="1:13" x14ac:dyDescent="0.3">
      <c r="A870">
        <v>100869</v>
      </c>
      <c r="B870">
        <v>67</v>
      </c>
      <c r="C870" t="str">
        <f t="shared" si="13"/>
        <v>60+</v>
      </c>
      <c r="D870" t="s">
        <v>12</v>
      </c>
      <c r="E870" t="s">
        <v>16</v>
      </c>
      <c r="F870" t="s">
        <v>21</v>
      </c>
      <c r="G870" t="s">
        <v>25</v>
      </c>
      <c r="H870">
        <v>10</v>
      </c>
      <c r="I870">
        <v>222935</v>
      </c>
      <c r="J870" t="s">
        <v>28</v>
      </c>
      <c r="K870" t="s">
        <v>31</v>
      </c>
      <c r="L870" t="s">
        <v>32</v>
      </c>
      <c r="M870">
        <v>3</v>
      </c>
    </row>
    <row r="871" spans="1:13" x14ac:dyDescent="0.3">
      <c r="A871">
        <v>100870</v>
      </c>
      <c r="B871">
        <v>18</v>
      </c>
      <c r="C871" t="str">
        <f t="shared" si="13"/>
        <v>0-18</v>
      </c>
      <c r="D871" t="s">
        <v>12</v>
      </c>
      <c r="E871" t="s">
        <v>16</v>
      </c>
      <c r="F871" t="s">
        <v>21</v>
      </c>
      <c r="G871" t="s">
        <v>27</v>
      </c>
      <c r="H871">
        <v>14</v>
      </c>
      <c r="I871">
        <v>55634</v>
      </c>
      <c r="J871" t="s">
        <v>28</v>
      </c>
      <c r="K871" t="s">
        <v>8</v>
      </c>
      <c r="L871" t="s">
        <v>35</v>
      </c>
      <c r="M871">
        <v>3</v>
      </c>
    </row>
    <row r="872" spans="1:13" x14ac:dyDescent="0.3">
      <c r="A872">
        <v>100871</v>
      </c>
      <c r="B872">
        <v>86</v>
      </c>
      <c r="C872" t="str">
        <f t="shared" si="13"/>
        <v>60+</v>
      </c>
      <c r="D872" t="s">
        <v>12</v>
      </c>
      <c r="E872" t="s">
        <v>18</v>
      </c>
      <c r="F872" t="s">
        <v>23</v>
      </c>
      <c r="G872" t="s">
        <v>25</v>
      </c>
      <c r="H872">
        <v>14</v>
      </c>
      <c r="I872">
        <v>219789</v>
      </c>
      <c r="J872" t="s">
        <v>29</v>
      </c>
      <c r="K872" t="s">
        <v>8</v>
      </c>
      <c r="L872" t="s">
        <v>34</v>
      </c>
      <c r="M872">
        <v>2</v>
      </c>
    </row>
    <row r="873" spans="1:13" x14ac:dyDescent="0.3">
      <c r="A873">
        <v>100872</v>
      </c>
      <c r="B873">
        <v>34</v>
      </c>
      <c r="C873" t="str">
        <f t="shared" si="13"/>
        <v>19-40</v>
      </c>
      <c r="D873" t="s">
        <v>12</v>
      </c>
      <c r="E873" t="s">
        <v>15</v>
      </c>
      <c r="F873" t="s">
        <v>21</v>
      </c>
      <c r="G873" t="s">
        <v>26</v>
      </c>
      <c r="H873">
        <v>5</v>
      </c>
      <c r="I873">
        <v>180734</v>
      </c>
      <c r="J873" t="s">
        <v>29</v>
      </c>
      <c r="K873" t="s">
        <v>30</v>
      </c>
      <c r="L873" t="s">
        <v>34</v>
      </c>
      <c r="M873">
        <v>1</v>
      </c>
    </row>
    <row r="874" spans="1:13" x14ac:dyDescent="0.3">
      <c r="A874">
        <v>100873</v>
      </c>
      <c r="B874">
        <v>8</v>
      </c>
      <c r="C874" t="str">
        <f t="shared" si="13"/>
        <v>0-18</v>
      </c>
      <c r="D874" t="s">
        <v>13</v>
      </c>
      <c r="E874" t="s">
        <v>15</v>
      </c>
      <c r="F874" t="s">
        <v>23</v>
      </c>
      <c r="G874" t="s">
        <v>26</v>
      </c>
      <c r="H874">
        <v>18</v>
      </c>
      <c r="I874">
        <v>88988</v>
      </c>
      <c r="J874" t="s">
        <v>28</v>
      </c>
      <c r="K874" t="s">
        <v>30</v>
      </c>
      <c r="L874" t="s">
        <v>32</v>
      </c>
      <c r="M874">
        <v>3</v>
      </c>
    </row>
    <row r="875" spans="1:13" x14ac:dyDescent="0.3">
      <c r="A875">
        <v>100874</v>
      </c>
      <c r="B875">
        <v>40</v>
      </c>
      <c r="C875" t="str">
        <f t="shared" si="13"/>
        <v>19-40</v>
      </c>
      <c r="D875" t="s">
        <v>13</v>
      </c>
      <c r="E875" t="s">
        <v>17</v>
      </c>
      <c r="F875" t="s">
        <v>24</v>
      </c>
      <c r="G875" t="s">
        <v>27</v>
      </c>
      <c r="H875">
        <v>14</v>
      </c>
      <c r="I875">
        <v>236856</v>
      </c>
      <c r="J875" t="s">
        <v>29</v>
      </c>
      <c r="K875" t="s">
        <v>31</v>
      </c>
      <c r="L875" t="s">
        <v>33</v>
      </c>
      <c r="M875">
        <v>4</v>
      </c>
    </row>
    <row r="876" spans="1:13" x14ac:dyDescent="0.3">
      <c r="A876">
        <v>100875</v>
      </c>
      <c r="B876">
        <v>83</v>
      </c>
      <c r="C876" t="str">
        <f t="shared" si="13"/>
        <v>60+</v>
      </c>
      <c r="D876" t="s">
        <v>12</v>
      </c>
      <c r="E876" t="s">
        <v>17</v>
      </c>
      <c r="F876" t="s">
        <v>20</v>
      </c>
      <c r="G876" t="s">
        <v>25</v>
      </c>
      <c r="H876">
        <v>2</v>
      </c>
      <c r="I876">
        <v>108337</v>
      </c>
      <c r="J876" t="s">
        <v>28</v>
      </c>
      <c r="K876" t="s">
        <v>30</v>
      </c>
      <c r="L876" t="s">
        <v>33</v>
      </c>
      <c r="M876">
        <v>1</v>
      </c>
    </row>
    <row r="877" spans="1:13" x14ac:dyDescent="0.3">
      <c r="A877">
        <v>100876</v>
      </c>
      <c r="B877">
        <v>42</v>
      </c>
      <c r="C877" t="str">
        <f t="shared" si="13"/>
        <v>41-60</v>
      </c>
      <c r="D877" t="s">
        <v>12</v>
      </c>
      <c r="E877" t="s">
        <v>18</v>
      </c>
      <c r="F877" t="s">
        <v>21</v>
      </c>
      <c r="G877" t="s">
        <v>26</v>
      </c>
      <c r="H877">
        <v>12</v>
      </c>
      <c r="I877">
        <v>232359</v>
      </c>
      <c r="J877" t="s">
        <v>28</v>
      </c>
      <c r="K877" t="s">
        <v>31</v>
      </c>
      <c r="L877" t="s">
        <v>35</v>
      </c>
      <c r="M877">
        <v>4</v>
      </c>
    </row>
    <row r="878" spans="1:13" x14ac:dyDescent="0.3">
      <c r="A878">
        <v>100877</v>
      </c>
      <c r="B878">
        <v>41</v>
      </c>
      <c r="C878" t="str">
        <f t="shared" si="13"/>
        <v>41-60</v>
      </c>
      <c r="D878" t="s">
        <v>13</v>
      </c>
      <c r="E878" t="s">
        <v>17</v>
      </c>
      <c r="F878" t="s">
        <v>20</v>
      </c>
      <c r="G878" t="s">
        <v>25</v>
      </c>
      <c r="H878">
        <v>6</v>
      </c>
      <c r="I878">
        <v>220599</v>
      </c>
      <c r="J878" t="s">
        <v>28</v>
      </c>
      <c r="K878" t="s">
        <v>30</v>
      </c>
      <c r="L878" t="s">
        <v>33</v>
      </c>
      <c r="M878">
        <v>4</v>
      </c>
    </row>
    <row r="879" spans="1:13" x14ac:dyDescent="0.3">
      <c r="A879">
        <v>100878</v>
      </c>
      <c r="B879">
        <v>6</v>
      </c>
      <c r="C879" t="str">
        <f t="shared" si="13"/>
        <v>0-18</v>
      </c>
      <c r="D879" t="s">
        <v>12</v>
      </c>
      <c r="E879" t="s">
        <v>19</v>
      </c>
      <c r="F879" t="s">
        <v>20</v>
      </c>
      <c r="G879" t="s">
        <v>25</v>
      </c>
      <c r="H879">
        <v>4</v>
      </c>
      <c r="I879">
        <v>239919</v>
      </c>
      <c r="J879" t="s">
        <v>29</v>
      </c>
      <c r="K879" t="s">
        <v>30</v>
      </c>
      <c r="L879" t="s">
        <v>34</v>
      </c>
      <c r="M879">
        <v>1</v>
      </c>
    </row>
    <row r="880" spans="1:13" x14ac:dyDescent="0.3">
      <c r="A880">
        <v>100879</v>
      </c>
      <c r="B880">
        <v>52</v>
      </c>
      <c r="C880" t="str">
        <f t="shared" si="13"/>
        <v>41-60</v>
      </c>
      <c r="D880" t="s">
        <v>13</v>
      </c>
      <c r="E880" t="s">
        <v>14</v>
      </c>
      <c r="F880" t="s">
        <v>20</v>
      </c>
      <c r="G880" t="s">
        <v>25</v>
      </c>
      <c r="H880">
        <v>13</v>
      </c>
      <c r="I880">
        <v>208524</v>
      </c>
      <c r="J880" t="s">
        <v>28</v>
      </c>
      <c r="K880" t="s">
        <v>30</v>
      </c>
      <c r="L880" t="s">
        <v>33</v>
      </c>
      <c r="M880">
        <v>1</v>
      </c>
    </row>
    <row r="881" spans="1:13" x14ac:dyDescent="0.3">
      <c r="A881">
        <v>100880</v>
      </c>
      <c r="B881">
        <v>26</v>
      </c>
      <c r="C881" t="str">
        <f t="shared" si="13"/>
        <v>19-40</v>
      </c>
      <c r="D881" t="s">
        <v>12</v>
      </c>
      <c r="E881" t="s">
        <v>14</v>
      </c>
      <c r="F881" t="s">
        <v>24</v>
      </c>
      <c r="G881" t="s">
        <v>27</v>
      </c>
      <c r="H881">
        <v>4</v>
      </c>
      <c r="I881">
        <v>143215</v>
      </c>
      <c r="J881" t="s">
        <v>28</v>
      </c>
      <c r="K881" t="s">
        <v>8</v>
      </c>
      <c r="L881" t="s">
        <v>35</v>
      </c>
      <c r="M881">
        <v>4</v>
      </c>
    </row>
    <row r="882" spans="1:13" x14ac:dyDescent="0.3">
      <c r="A882">
        <v>100881</v>
      </c>
      <c r="B882">
        <v>64</v>
      </c>
      <c r="C882" t="str">
        <f t="shared" si="13"/>
        <v>60+</v>
      </c>
      <c r="D882" t="s">
        <v>13</v>
      </c>
      <c r="E882" t="s">
        <v>14</v>
      </c>
      <c r="F882" t="s">
        <v>22</v>
      </c>
      <c r="G882" t="s">
        <v>25</v>
      </c>
      <c r="H882">
        <v>14</v>
      </c>
      <c r="I882">
        <v>224463</v>
      </c>
      <c r="J882" t="s">
        <v>28</v>
      </c>
      <c r="K882" t="s">
        <v>8</v>
      </c>
      <c r="L882" t="s">
        <v>34</v>
      </c>
      <c r="M882">
        <v>2</v>
      </c>
    </row>
    <row r="883" spans="1:13" x14ac:dyDescent="0.3">
      <c r="A883">
        <v>100882</v>
      </c>
      <c r="B883">
        <v>59</v>
      </c>
      <c r="C883" t="str">
        <f t="shared" si="13"/>
        <v>41-60</v>
      </c>
      <c r="D883" t="s">
        <v>12</v>
      </c>
      <c r="E883" t="s">
        <v>18</v>
      </c>
      <c r="F883" t="s">
        <v>21</v>
      </c>
      <c r="G883" t="s">
        <v>26</v>
      </c>
      <c r="H883">
        <v>16</v>
      </c>
      <c r="I883">
        <v>148653</v>
      </c>
      <c r="J883" t="s">
        <v>29</v>
      </c>
      <c r="K883" t="s">
        <v>31</v>
      </c>
      <c r="L883" t="s">
        <v>33</v>
      </c>
      <c r="M883">
        <v>5</v>
      </c>
    </row>
    <row r="884" spans="1:13" x14ac:dyDescent="0.3">
      <c r="A884">
        <v>100883</v>
      </c>
      <c r="B884">
        <v>56</v>
      </c>
      <c r="C884" t="str">
        <f t="shared" si="13"/>
        <v>41-60</v>
      </c>
      <c r="D884" t="s">
        <v>12</v>
      </c>
      <c r="E884" t="s">
        <v>18</v>
      </c>
      <c r="F884" t="s">
        <v>22</v>
      </c>
      <c r="G884" t="s">
        <v>25</v>
      </c>
      <c r="H884">
        <v>4</v>
      </c>
      <c r="I884">
        <v>69443</v>
      </c>
      <c r="J884" t="s">
        <v>29</v>
      </c>
      <c r="K884" t="s">
        <v>30</v>
      </c>
      <c r="L884" t="s">
        <v>33</v>
      </c>
      <c r="M884">
        <v>5</v>
      </c>
    </row>
    <row r="885" spans="1:13" x14ac:dyDescent="0.3">
      <c r="A885">
        <v>100884</v>
      </c>
      <c r="B885">
        <v>59</v>
      </c>
      <c r="C885" t="str">
        <f t="shared" si="13"/>
        <v>41-60</v>
      </c>
      <c r="D885" t="s">
        <v>13</v>
      </c>
      <c r="E885" t="s">
        <v>16</v>
      </c>
      <c r="F885" t="s">
        <v>22</v>
      </c>
      <c r="G885" t="s">
        <v>26</v>
      </c>
      <c r="H885">
        <v>1</v>
      </c>
      <c r="I885">
        <v>31424</v>
      </c>
      <c r="J885" t="s">
        <v>29</v>
      </c>
      <c r="K885" t="s">
        <v>31</v>
      </c>
      <c r="L885" t="s">
        <v>32</v>
      </c>
      <c r="M885">
        <v>2</v>
      </c>
    </row>
    <row r="886" spans="1:13" x14ac:dyDescent="0.3">
      <c r="A886">
        <v>100885</v>
      </c>
      <c r="B886">
        <v>70</v>
      </c>
      <c r="C886" t="str">
        <f t="shared" si="13"/>
        <v>60+</v>
      </c>
      <c r="D886" t="s">
        <v>12</v>
      </c>
      <c r="E886" t="s">
        <v>14</v>
      </c>
      <c r="F886" t="s">
        <v>22</v>
      </c>
      <c r="G886" t="s">
        <v>25</v>
      </c>
      <c r="H886">
        <v>13</v>
      </c>
      <c r="I886">
        <v>90844</v>
      </c>
      <c r="J886" t="s">
        <v>28</v>
      </c>
      <c r="K886" t="s">
        <v>30</v>
      </c>
      <c r="L886" t="s">
        <v>35</v>
      </c>
      <c r="M886">
        <v>1</v>
      </c>
    </row>
    <row r="887" spans="1:13" x14ac:dyDescent="0.3">
      <c r="A887">
        <v>100886</v>
      </c>
      <c r="B887">
        <v>33</v>
      </c>
      <c r="C887" t="str">
        <f t="shared" si="13"/>
        <v>19-40</v>
      </c>
      <c r="D887" t="s">
        <v>12</v>
      </c>
      <c r="E887" t="s">
        <v>19</v>
      </c>
      <c r="F887" t="s">
        <v>20</v>
      </c>
      <c r="G887" t="s">
        <v>26</v>
      </c>
      <c r="H887">
        <v>4</v>
      </c>
      <c r="I887">
        <v>43984</v>
      </c>
      <c r="J887" t="s">
        <v>29</v>
      </c>
      <c r="K887" t="s">
        <v>8</v>
      </c>
      <c r="L887" t="s">
        <v>33</v>
      </c>
      <c r="M887">
        <v>4</v>
      </c>
    </row>
    <row r="888" spans="1:13" x14ac:dyDescent="0.3">
      <c r="A888">
        <v>100887</v>
      </c>
      <c r="B888">
        <v>53</v>
      </c>
      <c r="C888" t="str">
        <f t="shared" si="13"/>
        <v>41-60</v>
      </c>
      <c r="D888" t="s">
        <v>13</v>
      </c>
      <c r="E888" t="s">
        <v>17</v>
      </c>
      <c r="F888" t="s">
        <v>23</v>
      </c>
      <c r="G888" t="s">
        <v>26</v>
      </c>
      <c r="H888">
        <v>18</v>
      </c>
      <c r="I888">
        <v>43505</v>
      </c>
      <c r="J888" t="s">
        <v>28</v>
      </c>
      <c r="K888" t="s">
        <v>8</v>
      </c>
      <c r="L888" t="s">
        <v>32</v>
      </c>
      <c r="M888">
        <v>5</v>
      </c>
    </row>
    <row r="889" spans="1:13" x14ac:dyDescent="0.3">
      <c r="A889">
        <v>100888</v>
      </c>
      <c r="B889">
        <v>22</v>
      </c>
      <c r="C889" t="str">
        <f t="shared" si="13"/>
        <v>19-40</v>
      </c>
      <c r="D889" t="s">
        <v>12</v>
      </c>
      <c r="E889" t="s">
        <v>19</v>
      </c>
      <c r="F889" t="s">
        <v>20</v>
      </c>
      <c r="G889" t="s">
        <v>25</v>
      </c>
      <c r="H889">
        <v>6</v>
      </c>
      <c r="I889">
        <v>245133</v>
      </c>
      <c r="J889" t="s">
        <v>29</v>
      </c>
      <c r="K889" t="s">
        <v>30</v>
      </c>
      <c r="L889" t="s">
        <v>34</v>
      </c>
      <c r="M889">
        <v>4</v>
      </c>
    </row>
    <row r="890" spans="1:13" x14ac:dyDescent="0.3">
      <c r="A890">
        <v>100889</v>
      </c>
      <c r="B890">
        <v>21</v>
      </c>
      <c r="C890" t="str">
        <f t="shared" si="13"/>
        <v>19-40</v>
      </c>
      <c r="D890" t="s">
        <v>13</v>
      </c>
      <c r="E890" t="s">
        <v>17</v>
      </c>
      <c r="F890" t="s">
        <v>20</v>
      </c>
      <c r="G890" t="s">
        <v>25</v>
      </c>
      <c r="H890">
        <v>3</v>
      </c>
      <c r="I890">
        <v>104478</v>
      </c>
      <c r="J890" t="s">
        <v>28</v>
      </c>
      <c r="K890" t="s">
        <v>30</v>
      </c>
      <c r="L890" t="s">
        <v>32</v>
      </c>
      <c r="M890">
        <v>2</v>
      </c>
    </row>
    <row r="891" spans="1:13" x14ac:dyDescent="0.3">
      <c r="A891">
        <v>100890</v>
      </c>
      <c r="B891">
        <v>70</v>
      </c>
      <c r="C891" t="str">
        <f t="shared" si="13"/>
        <v>60+</v>
      </c>
      <c r="D891" t="s">
        <v>13</v>
      </c>
      <c r="E891" t="s">
        <v>14</v>
      </c>
      <c r="F891" t="s">
        <v>22</v>
      </c>
      <c r="G891" t="s">
        <v>26</v>
      </c>
      <c r="H891">
        <v>13</v>
      </c>
      <c r="I891">
        <v>64699</v>
      </c>
      <c r="J891" t="s">
        <v>29</v>
      </c>
      <c r="K891" t="s">
        <v>8</v>
      </c>
      <c r="L891" t="s">
        <v>32</v>
      </c>
      <c r="M891">
        <v>4</v>
      </c>
    </row>
    <row r="892" spans="1:13" x14ac:dyDescent="0.3">
      <c r="A892">
        <v>100891</v>
      </c>
      <c r="B892">
        <v>70</v>
      </c>
      <c r="C892" t="str">
        <f t="shared" si="13"/>
        <v>60+</v>
      </c>
      <c r="D892" t="s">
        <v>12</v>
      </c>
      <c r="E892" t="s">
        <v>14</v>
      </c>
      <c r="F892" t="s">
        <v>20</v>
      </c>
      <c r="G892" t="s">
        <v>27</v>
      </c>
      <c r="H892">
        <v>16</v>
      </c>
      <c r="I892">
        <v>160029</v>
      </c>
      <c r="J892" t="s">
        <v>28</v>
      </c>
      <c r="K892" t="s">
        <v>8</v>
      </c>
      <c r="L892" t="s">
        <v>33</v>
      </c>
      <c r="M892">
        <v>2</v>
      </c>
    </row>
    <row r="893" spans="1:13" x14ac:dyDescent="0.3">
      <c r="A893">
        <v>100892</v>
      </c>
      <c r="B893">
        <v>4</v>
      </c>
      <c r="C893" t="str">
        <f t="shared" si="13"/>
        <v>0-18</v>
      </c>
      <c r="D893" t="s">
        <v>12</v>
      </c>
      <c r="E893" t="s">
        <v>14</v>
      </c>
      <c r="F893" t="s">
        <v>22</v>
      </c>
      <c r="G893" t="s">
        <v>25</v>
      </c>
      <c r="H893">
        <v>5</v>
      </c>
      <c r="I893">
        <v>158536</v>
      </c>
      <c r="J893" t="s">
        <v>29</v>
      </c>
      <c r="K893" t="s">
        <v>31</v>
      </c>
      <c r="L893" t="s">
        <v>33</v>
      </c>
      <c r="M893">
        <v>1</v>
      </c>
    </row>
    <row r="894" spans="1:13" x14ac:dyDescent="0.3">
      <c r="A894">
        <v>100893</v>
      </c>
      <c r="B894">
        <v>75</v>
      </c>
      <c r="C894" t="str">
        <f t="shared" si="13"/>
        <v>60+</v>
      </c>
      <c r="D894" t="s">
        <v>12</v>
      </c>
      <c r="E894" t="s">
        <v>18</v>
      </c>
      <c r="F894" t="s">
        <v>23</v>
      </c>
      <c r="G894" t="s">
        <v>27</v>
      </c>
      <c r="H894">
        <v>4</v>
      </c>
      <c r="I894">
        <v>116012</v>
      </c>
      <c r="J894" t="s">
        <v>29</v>
      </c>
      <c r="K894" t="s">
        <v>8</v>
      </c>
      <c r="L894" t="s">
        <v>33</v>
      </c>
      <c r="M894">
        <v>2</v>
      </c>
    </row>
    <row r="895" spans="1:13" x14ac:dyDescent="0.3">
      <c r="A895">
        <v>100894</v>
      </c>
      <c r="B895">
        <v>62</v>
      </c>
      <c r="C895" t="str">
        <f t="shared" si="13"/>
        <v>60+</v>
      </c>
      <c r="D895" t="s">
        <v>12</v>
      </c>
      <c r="E895" t="s">
        <v>17</v>
      </c>
      <c r="F895" t="s">
        <v>21</v>
      </c>
      <c r="G895" t="s">
        <v>25</v>
      </c>
      <c r="H895">
        <v>8</v>
      </c>
      <c r="I895">
        <v>156721</v>
      </c>
      <c r="J895" t="s">
        <v>29</v>
      </c>
      <c r="K895" t="s">
        <v>30</v>
      </c>
      <c r="L895" t="s">
        <v>32</v>
      </c>
      <c r="M895">
        <v>2</v>
      </c>
    </row>
    <row r="896" spans="1:13" x14ac:dyDescent="0.3">
      <c r="A896">
        <v>100895</v>
      </c>
      <c r="B896">
        <v>62</v>
      </c>
      <c r="C896" t="str">
        <f t="shared" si="13"/>
        <v>60+</v>
      </c>
      <c r="D896" t="s">
        <v>12</v>
      </c>
      <c r="E896" t="s">
        <v>18</v>
      </c>
      <c r="F896" t="s">
        <v>22</v>
      </c>
      <c r="G896" t="s">
        <v>25</v>
      </c>
      <c r="H896">
        <v>19</v>
      </c>
      <c r="I896">
        <v>175137</v>
      </c>
      <c r="J896" t="s">
        <v>28</v>
      </c>
      <c r="K896" t="s">
        <v>31</v>
      </c>
      <c r="L896" t="s">
        <v>34</v>
      </c>
      <c r="M896">
        <v>5</v>
      </c>
    </row>
    <row r="897" spans="1:13" x14ac:dyDescent="0.3">
      <c r="A897">
        <v>100896</v>
      </c>
      <c r="B897">
        <v>24</v>
      </c>
      <c r="C897" t="str">
        <f t="shared" si="13"/>
        <v>19-40</v>
      </c>
      <c r="D897" t="s">
        <v>12</v>
      </c>
      <c r="E897" t="s">
        <v>18</v>
      </c>
      <c r="F897" t="s">
        <v>23</v>
      </c>
      <c r="G897" t="s">
        <v>25</v>
      </c>
      <c r="H897">
        <v>14</v>
      </c>
      <c r="I897">
        <v>225733</v>
      </c>
      <c r="J897" t="s">
        <v>29</v>
      </c>
      <c r="K897" t="s">
        <v>30</v>
      </c>
      <c r="L897" t="s">
        <v>35</v>
      </c>
      <c r="M897">
        <v>4</v>
      </c>
    </row>
    <row r="898" spans="1:13" x14ac:dyDescent="0.3">
      <c r="A898">
        <v>100897</v>
      </c>
      <c r="B898">
        <v>55</v>
      </c>
      <c r="C898" t="str">
        <f t="shared" ref="C898:C961" si="14">IF(B898&lt;=18,"0-18",IF(B898&lt;=40,"19-40",IF(B898&lt;=60,"41-60","60+")))</f>
        <v>41-60</v>
      </c>
      <c r="D898" t="s">
        <v>12</v>
      </c>
      <c r="E898" t="s">
        <v>15</v>
      </c>
      <c r="F898" t="s">
        <v>21</v>
      </c>
      <c r="G898" t="s">
        <v>25</v>
      </c>
      <c r="H898">
        <v>7</v>
      </c>
      <c r="I898">
        <v>36758</v>
      </c>
      <c r="J898" t="s">
        <v>29</v>
      </c>
      <c r="K898" t="s">
        <v>31</v>
      </c>
      <c r="L898" t="s">
        <v>32</v>
      </c>
      <c r="M898">
        <v>5</v>
      </c>
    </row>
    <row r="899" spans="1:13" x14ac:dyDescent="0.3">
      <c r="A899">
        <v>100898</v>
      </c>
      <c r="B899">
        <v>9</v>
      </c>
      <c r="C899" t="str">
        <f t="shared" si="14"/>
        <v>0-18</v>
      </c>
      <c r="D899" t="s">
        <v>13</v>
      </c>
      <c r="E899" t="s">
        <v>19</v>
      </c>
      <c r="F899" t="s">
        <v>24</v>
      </c>
      <c r="G899" t="s">
        <v>27</v>
      </c>
      <c r="H899">
        <v>14</v>
      </c>
      <c r="I899">
        <v>138668</v>
      </c>
      <c r="J899" t="s">
        <v>29</v>
      </c>
      <c r="K899" t="s">
        <v>30</v>
      </c>
      <c r="L899" t="s">
        <v>33</v>
      </c>
      <c r="M899">
        <v>3</v>
      </c>
    </row>
    <row r="900" spans="1:13" x14ac:dyDescent="0.3">
      <c r="A900">
        <v>100899</v>
      </c>
      <c r="B900">
        <v>3</v>
      </c>
      <c r="C900" t="str">
        <f t="shared" si="14"/>
        <v>0-18</v>
      </c>
      <c r="D900" t="s">
        <v>12</v>
      </c>
      <c r="E900" t="s">
        <v>19</v>
      </c>
      <c r="F900" t="s">
        <v>22</v>
      </c>
      <c r="G900" t="s">
        <v>25</v>
      </c>
      <c r="H900">
        <v>6</v>
      </c>
      <c r="I900">
        <v>18374</v>
      </c>
      <c r="J900" t="s">
        <v>29</v>
      </c>
      <c r="K900" t="s">
        <v>8</v>
      </c>
      <c r="L900" t="s">
        <v>35</v>
      </c>
      <c r="M900">
        <v>2</v>
      </c>
    </row>
    <row r="901" spans="1:13" x14ac:dyDescent="0.3">
      <c r="A901">
        <v>100900</v>
      </c>
      <c r="B901">
        <v>31</v>
      </c>
      <c r="C901" t="str">
        <f t="shared" si="14"/>
        <v>19-40</v>
      </c>
      <c r="D901" t="s">
        <v>13</v>
      </c>
      <c r="E901" t="s">
        <v>16</v>
      </c>
      <c r="F901" t="s">
        <v>22</v>
      </c>
      <c r="G901" t="s">
        <v>26</v>
      </c>
      <c r="H901">
        <v>12</v>
      </c>
      <c r="I901">
        <v>120686</v>
      </c>
      <c r="J901" t="s">
        <v>28</v>
      </c>
      <c r="K901" t="s">
        <v>30</v>
      </c>
      <c r="L901" t="s">
        <v>34</v>
      </c>
      <c r="M901">
        <v>3</v>
      </c>
    </row>
    <row r="902" spans="1:13" x14ac:dyDescent="0.3">
      <c r="A902">
        <v>100901</v>
      </c>
      <c r="B902">
        <v>40</v>
      </c>
      <c r="C902" t="str">
        <f t="shared" si="14"/>
        <v>19-40</v>
      </c>
      <c r="D902" t="s">
        <v>12</v>
      </c>
      <c r="E902" t="s">
        <v>18</v>
      </c>
      <c r="F902" t="s">
        <v>24</v>
      </c>
      <c r="G902" t="s">
        <v>26</v>
      </c>
      <c r="H902">
        <v>16</v>
      </c>
      <c r="I902">
        <v>5775</v>
      </c>
      <c r="J902" t="s">
        <v>29</v>
      </c>
      <c r="K902" t="s">
        <v>31</v>
      </c>
      <c r="L902" t="s">
        <v>35</v>
      </c>
      <c r="M902">
        <v>5</v>
      </c>
    </row>
    <row r="903" spans="1:13" x14ac:dyDescent="0.3">
      <c r="A903">
        <v>100902</v>
      </c>
      <c r="B903">
        <v>36</v>
      </c>
      <c r="C903" t="str">
        <f t="shared" si="14"/>
        <v>19-40</v>
      </c>
      <c r="D903" t="s">
        <v>12</v>
      </c>
      <c r="E903" t="s">
        <v>17</v>
      </c>
      <c r="F903" t="s">
        <v>24</v>
      </c>
      <c r="G903" t="s">
        <v>27</v>
      </c>
      <c r="H903">
        <v>17</v>
      </c>
      <c r="I903">
        <v>29388</v>
      </c>
      <c r="J903" t="s">
        <v>28</v>
      </c>
      <c r="K903" t="s">
        <v>30</v>
      </c>
      <c r="L903" t="s">
        <v>33</v>
      </c>
      <c r="M903">
        <v>4</v>
      </c>
    </row>
    <row r="904" spans="1:13" x14ac:dyDescent="0.3">
      <c r="A904">
        <v>100903</v>
      </c>
      <c r="B904">
        <v>24</v>
      </c>
      <c r="C904" t="str">
        <f t="shared" si="14"/>
        <v>19-40</v>
      </c>
      <c r="D904" t="s">
        <v>13</v>
      </c>
      <c r="E904" t="s">
        <v>15</v>
      </c>
      <c r="F904" t="s">
        <v>22</v>
      </c>
      <c r="G904" t="s">
        <v>25</v>
      </c>
      <c r="H904">
        <v>13</v>
      </c>
      <c r="I904">
        <v>125800</v>
      </c>
      <c r="J904" t="s">
        <v>28</v>
      </c>
      <c r="K904" t="s">
        <v>31</v>
      </c>
      <c r="L904" t="s">
        <v>32</v>
      </c>
      <c r="M904">
        <v>5</v>
      </c>
    </row>
    <row r="905" spans="1:13" x14ac:dyDescent="0.3">
      <c r="A905">
        <v>100904</v>
      </c>
      <c r="B905">
        <v>6</v>
      </c>
      <c r="C905" t="str">
        <f t="shared" si="14"/>
        <v>0-18</v>
      </c>
      <c r="D905" t="s">
        <v>12</v>
      </c>
      <c r="E905" t="s">
        <v>15</v>
      </c>
      <c r="F905" t="s">
        <v>24</v>
      </c>
      <c r="G905" t="s">
        <v>26</v>
      </c>
      <c r="H905">
        <v>14</v>
      </c>
      <c r="I905">
        <v>23029</v>
      </c>
      <c r="J905" t="s">
        <v>28</v>
      </c>
      <c r="K905" t="s">
        <v>30</v>
      </c>
      <c r="L905" t="s">
        <v>32</v>
      </c>
      <c r="M905">
        <v>4</v>
      </c>
    </row>
    <row r="906" spans="1:13" x14ac:dyDescent="0.3">
      <c r="A906">
        <v>100905</v>
      </c>
      <c r="B906">
        <v>66</v>
      </c>
      <c r="C906" t="str">
        <f t="shared" si="14"/>
        <v>60+</v>
      </c>
      <c r="D906" t="s">
        <v>12</v>
      </c>
      <c r="E906" t="s">
        <v>19</v>
      </c>
      <c r="F906" t="s">
        <v>20</v>
      </c>
      <c r="G906" t="s">
        <v>27</v>
      </c>
      <c r="H906">
        <v>7</v>
      </c>
      <c r="I906">
        <v>85981</v>
      </c>
      <c r="J906" t="s">
        <v>28</v>
      </c>
      <c r="K906" t="s">
        <v>8</v>
      </c>
      <c r="L906" t="s">
        <v>33</v>
      </c>
      <c r="M906">
        <v>4</v>
      </c>
    </row>
    <row r="907" spans="1:13" x14ac:dyDescent="0.3">
      <c r="A907">
        <v>100906</v>
      </c>
      <c r="B907">
        <v>84</v>
      </c>
      <c r="C907" t="str">
        <f t="shared" si="14"/>
        <v>60+</v>
      </c>
      <c r="D907" t="s">
        <v>13</v>
      </c>
      <c r="E907" t="s">
        <v>18</v>
      </c>
      <c r="F907" t="s">
        <v>21</v>
      </c>
      <c r="G907" t="s">
        <v>25</v>
      </c>
      <c r="H907">
        <v>14</v>
      </c>
      <c r="I907">
        <v>55639</v>
      </c>
      <c r="J907" t="s">
        <v>29</v>
      </c>
      <c r="K907" t="s">
        <v>8</v>
      </c>
      <c r="L907" t="s">
        <v>32</v>
      </c>
      <c r="M907">
        <v>1</v>
      </c>
    </row>
    <row r="908" spans="1:13" x14ac:dyDescent="0.3">
      <c r="A908">
        <v>100907</v>
      </c>
      <c r="B908">
        <v>75</v>
      </c>
      <c r="C908" t="str">
        <f t="shared" si="14"/>
        <v>60+</v>
      </c>
      <c r="D908" t="s">
        <v>12</v>
      </c>
      <c r="E908" t="s">
        <v>16</v>
      </c>
      <c r="F908" t="s">
        <v>21</v>
      </c>
      <c r="G908" t="s">
        <v>26</v>
      </c>
      <c r="H908">
        <v>15</v>
      </c>
      <c r="I908">
        <v>116010</v>
      </c>
      <c r="J908" t="s">
        <v>28</v>
      </c>
      <c r="K908" t="s">
        <v>30</v>
      </c>
      <c r="L908" t="s">
        <v>33</v>
      </c>
      <c r="M908">
        <v>2</v>
      </c>
    </row>
    <row r="909" spans="1:13" x14ac:dyDescent="0.3">
      <c r="A909">
        <v>100908</v>
      </c>
      <c r="B909">
        <v>4</v>
      </c>
      <c r="C909" t="str">
        <f t="shared" si="14"/>
        <v>0-18</v>
      </c>
      <c r="D909" t="s">
        <v>12</v>
      </c>
      <c r="E909" t="s">
        <v>18</v>
      </c>
      <c r="F909" t="s">
        <v>21</v>
      </c>
      <c r="G909" t="s">
        <v>26</v>
      </c>
      <c r="H909">
        <v>12</v>
      </c>
      <c r="I909">
        <v>147717</v>
      </c>
      <c r="J909" t="s">
        <v>28</v>
      </c>
      <c r="K909" t="s">
        <v>30</v>
      </c>
      <c r="L909" t="s">
        <v>32</v>
      </c>
      <c r="M909">
        <v>5</v>
      </c>
    </row>
    <row r="910" spans="1:13" x14ac:dyDescent="0.3">
      <c r="A910">
        <v>100909</v>
      </c>
      <c r="B910">
        <v>79</v>
      </c>
      <c r="C910" t="str">
        <f t="shared" si="14"/>
        <v>60+</v>
      </c>
      <c r="D910" t="s">
        <v>12</v>
      </c>
      <c r="E910" t="s">
        <v>14</v>
      </c>
      <c r="F910" t="s">
        <v>20</v>
      </c>
      <c r="G910" t="s">
        <v>27</v>
      </c>
      <c r="H910">
        <v>17</v>
      </c>
      <c r="I910">
        <v>33105</v>
      </c>
      <c r="J910" t="s">
        <v>28</v>
      </c>
      <c r="K910" t="s">
        <v>30</v>
      </c>
      <c r="L910" t="s">
        <v>32</v>
      </c>
      <c r="M910">
        <v>4</v>
      </c>
    </row>
    <row r="911" spans="1:13" x14ac:dyDescent="0.3">
      <c r="A911">
        <v>100910</v>
      </c>
      <c r="B911">
        <v>6</v>
      </c>
      <c r="C911" t="str">
        <f t="shared" si="14"/>
        <v>0-18</v>
      </c>
      <c r="D911" t="s">
        <v>13</v>
      </c>
      <c r="E911" t="s">
        <v>18</v>
      </c>
      <c r="F911" t="s">
        <v>24</v>
      </c>
      <c r="G911" t="s">
        <v>25</v>
      </c>
      <c r="H911">
        <v>9</v>
      </c>
      <c r="I911">
        <v>146740</v>
      </c>
      <c r="J911" t="s">
        <v>28</v>
      </c>
      <c r="K911" t="s">
        <v>31</v>
      </c>
      <c r="L911" t="s">
        <v>32</v>
      </c>
      <c r="M911">
        <v>5</v>
      </c>
    </row>
    <row r="912" spans="1:13" x14ac:dyDescent="0.3">
      <c r="A912">
        <v>100911</v>
      </c>
      <c r="B912">
        <v>51</v>
      </c>
      <c r="C912" t="str">
        <f t="shared" si="14"/>
        <v>41-60</v>
      </c>
      <c r="D912" t="s">
        <v>12</v>
      </c>
      <c r="E912" t="s">
        <v>14</v>
      </c>
      <c r="F912" t="s">
        <v>23</v>
      </c>
      <c r="G912" t="s">
        <v>25</v>
      </c>
      <c r="H912">
        <v>15</v>
      </c>
      <c r="I912">
        <v>149032</v>
      </c>
      <c r="J912" t="s">
        <v>29</v>
      </c>
      <c r="K912" t="s">
        <v>30</v>
      </c>
      <c r="L912" t="s">
        <v>34</v>
      </c>
      <c r="M912">
        <v>5</v>
      </c>
    </row>
    <row r="913" spans="1:13" x14ac:dyDescent="0.3">
      <c r="A913">
        <v>100912</v>
      </c>
      <c r="B913">
        <v>62</v>
      </c>
      <c r="C913" t="str">
        <f t="shared" si="14"/>
        <v>60+</v>
      </c>
      <c r="D913" t="s">
        <v>12</v>
      </c>
      <c r="E913" t="s">
        <v>14</v>
      </c>
      <c r="F913" t="s">
        <v>24</v>
      </c>
      <c r="G913" t="s">
        <v>26</v>
      </c>
      <c r="H913">
        <v>12</v>
      </c>
      <c r="I913">
        <v>128519</v>
      </c>
      <c r="J913" t="s">
        <v>29</v>
      </c>
      <c r="K913" t="s">
        <v>30</v>
      </c>
      <c r="L913" t="s">
        <v>34</v>
      </c>
      <c r="M913">
        <v>4</v>
      </c>
    </row>
    <row r="914" spans="1:13" x14ac:dyDescent="0.3">
      <c r="A914">
        <v>100913</v>
      </c>
      <c r="B914">
        <v>57</v>
      </c>
      <c r="C914" t="str">
        <f t="shared" si="14"/>
        <v>41-60</v>
      </c>
      <c r="D914" t="s">
        <v>12</v>
      </c>
      <c r="E914" t="s">
        <v>16</v>
      </c>
      <c r="F914" t="s">
        <v>22</v>
      </c>
      <c r="G914" t="s">
        <v>26</v>
      </c>
      <c r="H914">
        <v>2</v>
      </c>
      <c r="I914">
        <v>144429</v>
      </c>
      <c r="J914" t="s">
        <v>28</v>
      </c>
      <c r="K914" t="s">
        <v>31</v>
      </c>
      <c r="L914" t="s">
        <v>33</v>
      </c>
      <c r="M914">
        <v>3</v>
      </c>
    </row>
    <row r="915" spans="1:13" x14ac:dyDescent="0.3">
      <c r="A915">
        <v>100914</v>
      </c>
      <c r="B915">
        <v>66</v>
      </c>
      <c r="C915" t="str">
        <f t="shared" si="14"/>
        <v>60+</v>
      </c>
      <c r="D915" t="s">
        <v>12</v>
      </c>
      <c r="E915" t="s">
        <v>17</v>
      </c>
      <c r="F915" t="s">
        <v>21</v>
      </c>
      <c r="G915" t="s">
        <v>26</v>
      </c>
      <c r="H915">
        <v>5</v>
      </c>
      <c r="I915">
        <v>197676</v>
      </c>
      <c r="J915" t="s">
        <v>28</v>
      </c>
      <c r="K915" t="s">
        <v>8</v>
      </c>
      <c r="L915" t="s">
        <v>34</v>
      </c>
      <c r="M915">
        <v>2</v>
      </c>
    </row>
    <row r="916" spans="1:13" x14ac:dyDescent="0.3">
      <c r="A916">
        <v>100915</v>
      </c>
      <c r="B916">
        <v>79</v>
      </c>
      <c r="C916" t="str">
        <f t="shared" si="14"/>
        <v>60+</v>
      </c>
      <c r="D916" t="s">
        <v>13</v>
      </c>
      <c r="E916" t="s">
        <v>19</v>
      </c>
      <c r="F916" t="s">
        <v>24</v>
      </c>
      <c r="G916" t="s">
        <v>25</v>
      </c>
      <c r="H916">
        <v>13</v>
      </c>
      <c r="I916">
        <v>104739</v>
      </c>
      <c r="J916" t="s">
        <v>28</v>
      </c>
      <c r="K916" t="s">
        <v>30</v>
      </c>
      <c r="L916" t="s">
        <v>33</v>
      </c>
      <c r="M916">
        <v>2</v>
      </c>
    </row>
    <row r="917" spans="1:13" x14ac:dyDescent="0.3">
      <c r="A917">
        <v>100916</v>
      </c>
      <c r="B917">
        <v>75</v>
      </c>
      <c r="C917" t="str">
        <f t="shared" si="14"/>
        <v>60+</v>
      </c>
      <c r="D917" t="s">
        <v>13</v>
      </c>
      <c r="E917" t="s">
        <v>18</v>
      </c>
      <c r="F917" t="s">
        <v>23</v>
      </c>
      <c r="G917" t="s">
        <v>27</v>
      </c>
      <c r="H917">
        <v>8</v>
      </c>
      <c r="I917">
        <v>53796</v>
      </c>
      <c r="J917" t="s">
        <v>29</v>
      </c>
      <c r="K917" t="s">
        <v>30</v>
      </c>
      <c r="L917" t="s">
        <v>35</v>
      </c>
      <c r="M917">
        <v>1</v>
      </c>
    </row>
    <row r="918" spans="1:13" x14ac:dyDescent="0.3">
      <c r="A918">
        <v>100917</v>
      </c>
      <c r="B918">
        <v>8</v>
      </c>
      <c r="C918" t="str">
        <f t="shared" si="14"/>
        <v>0-18</v>
      </c>
      <c r="D918" t="s">
        <v>12</v>
      </c>
      <c r="E918" t="s">
        <v>14</v>
      </c>
      <c r="F918" t="s">
        <v>22</v>
      </c>
      <c r="G918" t="s">
        <v>27</v>
      </c>
      <c r="H918">
        <v>14</v>
      </c>
      <c r="I918">
        <v>17804</v>
      </c>
      <c r="J918" t="s">
        <v>29</v>
      </c>
      <c r="K918" t="s">
        <v>8</v>
      </c>
      <c r="L918" t="s">
        <v>35</v>
      </c>
      <c r="M918">
        <v>1</v>
      </c>
    </row>
    <row r="919" spans="1:13" x14ac:dyDescent="0.3">
      <c r="A919">
        <v>100918</v>
      </c>
      <c r="B919">
        <v>26</v>
      </c>
      <c r="C919" t="str">
        <f t="shared" si="14"/>
        <v>19-40</v>
      </c>
      <c r="D919" t="s">
        <v>12</v>
      </c>
      <c r="E919" t="s">
        <v>18</v>
      </c>
      <c r="F919" t="s">
        <v>20</v>
      </c>
      <c r="G919" t="s">
        <v>25</v>
      </c>
      <c r="H919">
        <v>15</v>
      </c>
      <c r="I919">
        <v>129732</v>
      </c>
      <c r="J919" t="s">
        <v>29</v>
      </c>
      <c r="K919" t="s">
        <v>8</v>
      </c>
      <c r="L919" t="s">
        <v>34</v>
      </c>
      <c r="M919">
        <v>1</v>
      </c>
    </row>
    <row r="920" spans="1:13" x14ac:dyDescent="0.3">
      <c r="A920">
        <v>100919</v>
      </c>
      <c r="B920">
        <v>51</v>
      </c>
      <c r="C920" t="str">
        <f t="shared" si="14"/>
        <v>41-60</v>
      </c>
      <c r="D920" t="s">
        <v>13</v>
      </c>
      <c r="E920" t="s">
        <v>17</v>
      </c>
      <c r="F920" t="s">
        <v>20</v>
      </c>
      <c r="G920" t="s">
        <v>27</v>
      </c>
      <c r="H920">
        <v>11</v>
      </c>
      <c r="I920">
        <v>248805</v>
      </c>
      <c r="J920" t="s">
        <v>29</v>
      </c>
      <c r="K920" t="s">
        <v>31</v>
      </c>
      <c r="L920" t="s">
        <v>35</v>
      </c>
      <c r="M920">
        <v>2</v>
      </c>
    </row>
    <row r="921" spans="1:13" x14ac:dyDescent="0.3">
      <c r="A921">
        <v>100920</v>
      </c>
      <c r="B921">
        <v>45</v>
      </c>
      <c r="C921" t="str">
        <f t="shared" si="14"/>
        <v>41-60</v>
      </c>
      <c r="D921" t="s">
        <v>13</v>
      </c>
      <c r="E921" t="s">
        <v>19</v>
      </c>
      <c r="F921" t="s">
        <v>23</v>
      </c>
      <c r="G921" t="s">
        <v>26</v>
      </c>
      <c r="H921">
        <v>1</v>
      </c>
      <c r="I921">
        <v>147698</v>
      </c>
      <c r="J921" t="s">
        <v>29</v>
      </c>
      <c r="K921" t="s">
        <v>30</v>
      </c>
      <c r="L921" t="s">
        <v>35</v>
      </c>
      <c r="M921">
        <v>3</v>
      </c>
    </row>
    <row r="922" spans="1:13" x14ac:dyDescent="0.3">
      <c r="A922">
        <v>100921</v>
      </c>
      <c r="B922">
        <v>44</v>
      </c>
      <c r="C922" t="str">
        <f t="shared" si="14"/>
        <v>41-60</v>
      </c>
      <c r="D922" t="s">
        <v>12</v>
      </c>
      <c r="E922" t="s">
        <v>17</v>
      </c>
      <c r="F922" t="s">
        <v>22</v>
      </c>
      <c r="G922" t="s">
        <v>27</v>
      </c>
      <c r="H922">
        <v>3</v>
      </c>
      <c r="I922">
        <v>161204</v>
      </c>
      <c r="J922" t="s">
        <v>28</v>
      </c>
      <c r="K922" t="s">
        <v>30</v>
      </c>
      <c r="L922" t="s">
        <v>32</v>
      </c>
      <c r="M922">
        <v>2</v>
      </c>
    </row>
    <row r="923" spans="1:13" x14ac:dyDescent="0.3">
      <c r="A923">
        <v>100922</v>
      </c>
      <c r="B923">
        <v>5</v>
      </c>
      <c r="C923" t="str">
        <f t="shared" si="14"/>
        <v>0-18</v>
      </c>
      <c r="D923" t="s">
        <v>13</v>
      </c>
      <c r="E923" t="s">
        <v>19</v>
      </c>
      <c r="F923" t="s">
        <v>21</v>
      </c>
      <c r="G923" t="s">
        <v>27</v>
      </c>
      <c r="H923">
        <v>17</v>
      </c>
      <c r="I923">
        <v>9951</v>
      </c>
      <c r="J923" t="s">
        <v>29</v>
      </c>
      <c r="K923" t="s">
        <v>31</v>
      </c>
      <c r="L923" t="s">
        <v>32</v>
      </c>
      <c r="M923">
        <v>2</v>
      </c>
    </row>
    <row r="924" spans="1:13" x14ac:dyDescent="0.3">
      <c r="A924">
        <v>100923</v>
      </c>
      <c r="B924">
        <v>70</v>
      </c>
      <c r="C924" t="str">
        <f t="shared" si="14"/>
        <v>60+</v>
      </c>
      <c r="D924" t="s">
        <v>12</v>
      </c>
      <c r="E924" t="s">
        <v>15</v>
      </c>
      <c r="F924" t="s">
        <v>24</v>
      </c>
      <c r="G924" t="s">
        <v>27</v>
      </c>
      <c r="H924">
        <v>19</v>
      </c>
      <c r="I924">
        <v>139521</v>
      </c>
      <c r="J924" t="s">
        <v>29</v>
      </c>
      <c r="K924" t="s">
        <v>8</v>
      </c>
      <c r="L924" t="s">
        <v>33</v>
      </c>
      <c r="M924">
        <v>2</v>
      </c>
    </row>
    <row r="925" spans="1:13" x14ac:dyDescent="0.3">
      <c r="A925">
        <v>100924</v>
      </c>
      <c r="B925">
        <v>26</v>
      </c>
      <c r="C925" t="str">
        <f t="shared" si="14"/>
        <v>19-40</v>
      </c>
      <c r="D925" t="s">
        <v>13</v>
      </c>
      <c r="E925" t="s">
        <v>19</v>
      </c>
      <c r="F925" t="s">
        <v>22</v>
      </c>
      <c r="G925" t="s">
        <v>26</v>
      </c>
      <c r="H925">
        <v>14</v>
      </c>
      <c r="I925">
        <v>21065</v>
      </c>
      <c r="J925" t="s">
        <v>28</v>
      </c>
      <c r="K925" t="s">
        <v>31</v>
      </c>
      <c r="L925" t="s">
        <v>35</v>
      </c>
      <c r="M925">
        <v>2</v>
      </c>
    </row>
    <row r="926" spans="1:13" x14ac:dyDescent="0.3">
      <c r="A926">
        <v>100925</v>
      </c>
      <c r="B926">
        <v>68</v>
      </c>
      <c r="C926" t="str">
        <f t="shared" si="14"/>
        <v>60+</v>
      </c>
      <c r="D926" t="s">
        <v>13</v>
      </c>
      <c r="E926" t="s">
        <v>16</v>
      </c>
      <c r="F926" t="s">
        <v>20</v>
      </c>
      <c r="G926" t="s">
        <v>25</v>
      </c>
      <c r="H926">
        <v>8</v>
      </c>
      <c r="I926">
        <v>103503</v>
      </c>
      <c r="J926" t="s">
        <v>29</v>
      </c>
      <c r="K926" t="s">
        <v>8</v>
      </c>
      <c r="L926" t="s">
        <v>33</v>
      </c>
      <c r="M926">
        <v>3</v>
      </c>
    </row>
    <row r="927" spans="1:13" x14ac:dyDescent="0.3">
      <c r="A927">
        <v>100926</v>
      </c>
      <c r="B927">
        <v>19</v>
      </c>
      <c r="C927" t="str">
        <f t="shared" si="14"/>
        <v>19-40</v>
      </c>
      <c r="D927" t="s">
        <v>13</v>
      </c>
      <c r="E927" t="s">
        <v>17</v>
      </c>
      <c r="F927" t="s">
        <v>23</v>
      </c>
      <c r="G927" t="s">
        <v>26</v>
      </c>
      <c r="H927">
        <v>13</v>
      </c>
      <c r="I927">
        <v>107072</v>
      </c>
      <c r="J927" t="s">
        <v>29</v>
      </c>
      <c r="K927" t="s">
        <v>31</v>
      </c>
      <c r="L927" t="s">
        <v>33</v>
      </c>
      <c r="M927">
        <v>1</v>
      </c>
    </row>
    <row r="928" spans="1:13" x14ac:dyDescent="0.3">
      <c r="A928">
        <v>100927</v>
      </c>
      <c r="B928">
        <v>84</v>
      </c>
      <c r="C928" t="str">
        <f t="shared" si="14"/>
        <v>60+</v>
      </c>
      <c r="D928" t="s">
        <v>13</v>
      </c>
      <c r="E928" t="s">
        <v>14</v>
      </c>
      <c r="F928" t="s">
        <v>23</v>
      </c>
      <c r="G928" t="s">
        <v>25</v>
      </c>
      <c r="H928">
        <v>3</v>
      </c>
      <c r="I928">
        <v>142202</v>
      </c>
      <c r="J928" t="s">
        <v>29</v>
      </c>
      <c r="K928" t="s">
        <v>8</v>
      </c>
      <c r="L928" t="s">
        <v>35</v>
      </c>
      <c r="M928">
        <v>5</v>
      </c>
    </row>
    <row r="929" spans="1:13" x14ac:dyDescent="0.3">
      <c r="A929">
        <v>100928</v>
      </c>
      <c r="B929">
        <v>20</v>
      </c>
      <c r="C929" t="str">
        <f t="shared" si="14"/>
        <v>19-40</v>
      </c>
      <c r="D929" t="s">
        <v>12</v>
      </c>
      <c r="E929" t="s">
        <v>15</v>
      </c>
      <c r="F929" t="s">
        <v>24</v>
      </c>
      <c r="G929" t="s">
        <v>25</v>
      </c>
      <c r="H929">
        <v>5</v>
      </c>
      <c r="I929">
        <v>91360</v>
      </c>
      <c r="J929" t="s">
        <v>28</v>
      </c>
      <c r="K929" t="s">
        <v>31</v>
      </c>
      <c r="L929" t="s">
        <v>34</v>
      </c>
      <c r="M929">
        <v>1</v>
      </c>
    </row>
    <row r="930" spans="1:13" x14ac:dyDescent="0.3">
      <c r="A930">
        <v>100929</v>
      </c>
      <c r="B930">
        <v>12</v>
      </c>
      <c r="C930" t="str">
        <f t="shared" si="14"/>
        <v>0-18</v>
      </c>
      <c r="D930" t="s">
        <v>13</v>
      </c>
      <c r="E930" t="s">
        <v>16</v>
      </c>
      <c r="F930" t="s">
        <v>23</v>
      </c>
      <c r="G930" t="s">
        <v>25</v>
      </c>
      <c r="H930">
        <v>9</v>
      </c>
      <c r="I930">
        <v>64287</v>
      </c>
      <c r="J930" t="s">
        <v>29</v>
      </c>
      <c r="K930" t="s">
        <v>8</v>
      </c>
      <c r="L930" t="s">
        <v>35</v>
      </c>
      <c r="M930">
        <v>1</v>
      </c>
    </row>
    <row r="931" spans="1:13" x14ac:dyDescent="0.3">
      <c r="A931">
        <v>100930</v>
      </c>
      <c r="B931">
        <v>47</v>
      </c>
      <c r="C931" t="str">
        <f t="shared" si="14"/>
        <v>41-60</v>
      </c>
      <c r="D931" t="s">
        <v>13</v>
      </c>
      <c r="E931" t="s">
        <v>18</v>
      </c>
      <c r="F931" t="s">
        <v>23</v>
      </c>
      <c r="G931" t="s">
        <v>27</v>
      </c>
      <c r="H931">
        <v>6</v>
      </c>
      <c r="I931">
        <v>240009</v>
      </c>
      <c r="J931" t="s">
        <v>28</v>
      </c>
      <c r="K931" t="s">
        <v>8</v>
      </c>
      <c r="L931" t="s">
        <v>32</v>
      </c>
      <c r="M931">
        <v>5</v>
      </c>
    </row>
    <row r="932" spans="1:13" x14ac:dyDescent="0.3">
      <c r="A932">
        <v>100931</v>
      </c>
      <c r="B932">
        <v>1</v>
      </c>
      <c r="C932" t="str">
        <f t="shared" si="14"/>
        <v>0-18</v>
      </c>
      <c r="D932" t="s">
        <v>12</v>
      </c>
      <c r="E932" t="s">
        <v>17</v>
      </c>
      <c r="F932" t="s">
        <v>22</v>
      </c>
      <c r="G932" t="s">
        <v>27</v>
      </c>
      <c r="H932">
        <v>2</v>
      </c>
      <c r="I932">
        <v>184774</v>
      </c>
      <c r="J932" t="s">
        <v>28</v>
      </c>
      <c r="K932" t="s">
        <v>8</v>
      </c>
      <c r="L932" t="s">
        <v>35</v>
      </c>
      <c r="M932">
        <v>2</v>
      </c>
    </row>
    <row r="933" spans="1:13" x14ac:dyDescent="0.3">
      <c r="A933">
        <v>100932</v>
      </c>
      <c r="B933">
        <v>14</v>
      </c>
      <c r="C933" t="str">
        <f t="shared" si="14"/>
        <v>0-18</v>
      </c>
      <c r="D933" t="s">
        <v>13</v>
      </c>
      <c r="E933" t="s">
        <v>14</v>
      </c>
      <c r="F933" t="s">
        <v>21</v>
      </c>
      <c r="G933" t="s">
        <v>25</v>
      </c>
      <c r="H933">
        <v>13</v>
      </c>
      <c r="I933">
        <v>170065</v>
      </c>
      <c r="J933" t="s">
        <v>29</v>
      </c>
      <c r="K933" t="s">
        <v>8</v>
      </c>
      <c r="L933" t="s">
        <v>34</v>
      </c>
      <c r="M933">
        <v>3</v>
      </c>
    </row>
    <row r="934" spans="1:13" x14ac:dyDescent="0.3">
      <c r="A934">
        <v>100933</v>
      </c>
      <c r="B934">
        <v>64</v>
      </c>
      <c r="C934" t="str">
        <f t="shared" si="14"/>
        <v>60+</v>
      </c>
      <c r="D934" t="s">
        <v>13</v>
      </c>
      <c r="E934" t="s">
        <v>19</v>
      </c>
      <c r="F934" t="s">
        <v>24</v>
      </c>
      <c r="G934" t="s">
        <v>25</v>
      </c>
      <c r="H934">
        <v>5</v>
      </c>
      <c r="I934">
        <v>164947</v>
      </c>
      <c r="J934" t="s">
        <v>29</v>
      </c>
      <c r="K934" t="s">
        <v>8</v>
      </c>
      <c r="L934" t="s">
        <v>33</v>
      </c>
      <c r="M934">
        <v>3</v>
      </c>
    </row>
    <row r="935" spans="1:13" x14ac:dyDescent="0.3">
      <c r="A935">
        <v>100934</v>
      </c>
      <c r="B935">
        <v>38</v>
      </c>
      <c r="C935" t="str">
        <f t="shared" si="14"/>
        <v>19-40</v>
      </c>
      <c r="D935" t="s">
        <v>12</v>
      </c>
      <c r="E935" t="s">
        <v>14</v>
      </c>
      <c r="F935" t="s">
        <v>22</v>
      </c>
      <c r="G935" t="s">
        <v>27</v>
      </c>
      <c r="H935">
        <v>8</v>
      </c>
      <c r="I935">
        <v>248356</v>
      </c>
      <c r="J935" t="s">
        <v>29</v>
      </c>
      <c r="K935" t="s">
        <v>30</v>
      </c>
      <c r="L935" t="s">
        <v>33</v>
      </c>
      <c r="M935">
        <v>1</v>
      </c>
    </row>
    <row r="936" spans="1:13" x14ac:dyDescent="0.3">
      <c r="A936">
        <v>100935</v>
      </c>
      <c r="B936">
        <v>37</v>
      </c>
      <c r="C936" t="str">
        <f t="shared" si="14"/>
        <v>19-40</v>
      </c>
      <c r="D936" t="s">
        <v>13</v>
      </c>
      <c r="E936" t="s">
        <v>18</v>
      </c>
      <c r="F936" t="s">
        <v>21</v>
      </c>
      <c r="G936" t="s">
        <v>26</v>
      </c>
      <c r="H936">
        <v>1</v>
      </c>
      <c r="I936">
        <v>139126</v>
      </c>
      <c r="J936" t="s">
        <v>29</v>
      </c>
      <c r="K936" t="s">
        <v>8</v>
      </c>
      <c r="L936" t="s">
        <v>32</v>
      </c>
      <c r="M936">
        <v>5</v>
      </c>
    </row>
    <row r="937" spans="1:13" x14ac:dyDescent="0.3">
      <c r="A937">
        <v>100936</v>
      </c>
      <c r="B937">
        <v>11</v>
      </c>
      <c r="C937" t="str">
        <f t="shared" si="14"/>
        <v>0-18</v>
      </c>
      <c r="D937" t="s">
        <v>12</v>
      </c>
      <c r="E937" t="s">
        <v>15</v>
      </c>
      <c r="F937" t="s">
        <v>22</v>
      </c>
      <c r="G937" t="s">
        <v>25</v>
      </c>
      <c r="H937">
        <v>12</v>
      </c>
      <c r="I937">
        <v>232881</v>
      </c>
      <c r="J937" t="s">
        <v>28</v>
      </c>
      <c r="K937" t="s">
        <v>30</v>
      </c>
      <c r="L937" t="s">
        <v>32</v>
      </c>
      <c r="M937">
        <v>4</v>
      </c>
    </row>
    <row r="938" spans="1:13" x14ac:dyDescent="0.3">
      <c r="A938">
        <v>100937</v>
      </c>
      <c r="B938">
        <v>77</v>
      </c>
      <c r="C938" t="str">
        <f t="shared" si="14"/>
        <v>60+</v>
      </c>
      <c r="D938" t="s">
        <v>12</v>
      </c>
      <c r="E938" t="s">
        <v>15</v>
      </c>
      <c r="F938" t="s">
        <v>22</v>
      </c>
      <c r="G938" t="s">
        <v>26</v>
      </c>
      <c r="H938">
        <v>11</v>
      </c>
      <c r="I938">
        <v>109357</v>
      </c>
      <c r="J938" t="s">
        <v>29</v>
      </c>
      <c r="K938" t="s">
        <v>8</v>
      </c>
      <c r="L938" t="s">
        <v>32</v>
      </c>
      <c r="M938">
        <v>2</v>
      </c>
    </row>
    <row r="939" spans="1:13" x14ac:dyDescent="0.3">
      <c r="A939">
        <v>100938</v>
      </c>
      <c r="B939">
        <v>3</v>
      </c>
      <c r="C939" t="str">
        <f t="shared" si="14"/>
        <v>0-18</v>
      </c>
      <c r="D939" t="s">
        <v>12</v>
      </c>
      <c r="E939" t="s">
        <v>17</v>
      </c>
      <c r="F939" t="s">
        <v>23</v>
      </c>
      <c r="G939" t="s">
        <v>27</v>
      </c>
      <c r="H939">
        <v>7</v>
      </c>
      <c r="I939">
        <v>181589</v>
      </c>
      <c r="J939" t="s">
        <v>28</v>
      </c>
      <c r="K939" t="s">
        <v>30</v>
      </c>
      <c r="L939" t="s">
        <v>33</v>
      </c>
      <c r="M939">
        <v>1</v>
      </c>
    </row>
    <row r="940" spans="1:13" x14ac:dyDescent="0.3">
      <c r="A940">
        <v>100939</v>
      </c>
      <c r="B940">
        <v>33</v>
      </c>
      <c r="C940" t="str">
        <f t="shared" si="14"/>
        <v>19-40</v>
      </c>
      <c r="D940" t="s">
        <v>12</v>
      </c>
      <c r="E940" t="s">
        <v>15</v>
      </c>
      <c r="F940" t="s">
        <v>21</v>
      </c>
      <c r="G940" t="s">
        <v>25</v>
      </c>
      <c r="H940">
        <v>15</v>
      </c>
      <c r="I940">
        <v>209440</v>
      </c>
      <c r="J940" t="s">
        <v>28</v>
      </c>
      <c r="K940" t="s">
        <v>30</v>
      </c>
      <c r="L940" t="s">
        <v>32</v>
      </c>
      <c r="M940">
        <v>3</v>
      </c>
    </row>
    <row r="941" spans="1:13" x14ac:dyDescent="0.3">
      <c r="A941">
        <v>100940</v>
      </c>
      <c r="B941">
        <v>6</v>
      </c>
      <c r="C941" t="str">
        <f t="shared" si="14"/>
        <v>0-18</v>
      </c>
      <c r="D941" t="s">
        <v>13</v>
      </c>
      <c r="E941" t="s">
        <v>17</v>
      </c>
      <c r="F941" t="s">
        <v>24</v>
      </c>
      <c r="G941" t="s">
        <v>26</v>
      </c>
      <c r="H941">
        <v>11</v>
      </c>
      <c r="I941">
        <v>31670</v>
      </c>
      <c r="J941" t="s">
        <v>28</v>
      </c>
      <c r="K941" t="s">
        <v>31</v>
      </c>
      <c r="L941" t="s">
        <v>35</v>
      </c>
      <c r="M941">
        <v>5</v>
      </c>
    </row>
    <row r="942" spans="1:13" x14ac:dyDescent="0.3">
      <c r="A942">
        <v>100941</v>
      </c>
      <c r="B942">
        <v>50</v>
      </c>
      <c r="C942" t="str">
        <f t="shared" si="14"/>
        <v>41-60</v>
      </c>
      <c r="D942" t="s">
        <v>12</v>
      </c>
      <c r="E942" t="s">
        <v>17</v>
      </c>
      <c r="F942" t="s">
        <v>24</v>
      </c>
      <c r="G942" t="s">
        <v>26</v>
      </c>
      <c r="H942">
        <v>16</v>
      </c>
      <c r="I942">
        <v>51112</v>
      </c>
      <c r="J942" t="s">
        <v>28</v>
      </c>
      <c r="K942" t="s">
        <v>8</v>
      </c>
      <c r="L942" t="s">
        <v>33</v>
      </c>
      <c r="M942">
        <v>5</v>
      </c>
    </row>
    <row r="943" spans="1:13" x14ac:dyDescent="0.3">
      <c r="A943">
        <v>100942</v>
      </c>
      <c r="B943">
        <v>10</v>
      </c>
      <c r="C943" t="str">
        <f t="shared" si="14"/>
        <v>0-18</v>
      </c>
      <c r="D943" t="s">
        <v>13</v>
      </c>
      <c r="E943" t="s">
        <v>17</v>
      </c>
      <c r="F943" t="s">
        <v>21</v>
      </c>
      <c r="G943" t="s">
        <v>26</v>
      </c>
      <c r="H943">
        <v>3</v>
      </c>
      <c r="I943">
        <v>90388</v>
      </c>
      <c r="J943" t="s">
        <v>28</v>
      </c>
      <c r="K943" t="s">
        <v>31</v>
      </c>
      <c r="L943" t="s">
        <v>34</v>
      </c>
      <c r="M943">
        <v>1</v>
      </c>
    </row>
    <row r="944" spans="1:13" x14ac:dyDescent="0.3">
      <c r="A944">
        <v>100943</v>
      </c>
      <c r="B944">
        <v>5</v>
      </c>
      <c r="C944" t="str">
        <f t="shared" si="14"/>
        <v>0-18</v>
      </c>
      <c r="D944" t="s">
        <v>13</v>
      </c>
      <c r="E944" t="s">
        <v>19</v>
      </c>
      <c r="F944" t="s">
        <v>23</v>
      </c>
      <c r="G944" t="s">
        <v>27</v>
      </c>
      <c r="H944">
        <v>14</v>
      </c>
      <c r="I944">
        <v>91156</v>
      </c>
      <c r="J944" t="s">
        <v>29</v>
      </c>
      <c r="K944" t="s">
        <v>31</v>
      </c>
      <c r="L944" t="s">
        <v>33</v>
      </c>
      <c r="M944">
        <v>4</v>
      </c>
    </row>
    <row r="945" spans="1:13" x14ac:dyDescent="0.3">
      <c r="A945">
        <v>100944</v>
      </c>
      <c r="B945">
        <v>23</v>
      </c>
      <c r="C945" t="str">
        <f t="shared" si="14"/>
        <v>19-40</v>
      </c>
      <c r="D945" t="s">
        <v>13</v>
      </c>
      <c r="E945" t="s">
        <v>16</v>
      </c>
      <c r="F945" t="s">
        <v>20</v>
      </c>
      <c r="G945" t="s">
        <v>27</v>
      </c>
      <c r="H945">
        <v>3</v>
      </c>
      <c r="I945">
        <v>161379</v>
      </c>
      <c r="J945" t="s">
        <v>28</v>
      </c>
      <c r="K945" t="s">
        <v>8</v>
      </c>
      <c r="L945" t="s">
        <v>35</v>
      </c>
      <c r="M945">
        <v>3</v>
      </c>
    </row>
    <row r="946" spans="1:13" x14ac:dyDescent="0.3">
      <c r="A946">
        <v>100945</v>
      </c>
      <c r="B946">
        <v>10</v>
      </c>
      <c r="C946" t="str">
        <f t="shared" si="14"/>
        <v>0-18</v>
      </c>
      <c r="D946" t="s">
        <v>13</v>
      </c>
      <c r="E946" t="s">
        <v>17</v>
      </c>
      <c r="F946" t="s">
        <v>22</v>
      </c>
      <c r="G946" t="s">
        <v>26</v>
      </c>
      <c r="H946">
        <v>1</v>
      </c>
      <c r="I946">
        <v>246159</v>
      </c>
      <c r="J946" t="s">
        <v>28</v>
      </c>
      <c r="K946" t="s">
        <v>31</v>
      </c>
      <c r="L946" t="s">
        <v>35</v>
      </c>
      <c r="M946">
        <v>1</v>
      </c>
    </row>
    <row r="947" spans="1:13" x14ac:dyDescent="0.3">
      <c r="A947">
        <v>100946</v>
      </c>
      <c r="B947">
        <v>44</v>
      </c>
      <c r="C947" t="str">
        <f t="shared" si="14"/>
        <v>41-60</v>
      </c>
      <c r="D947" t="s">
        <v>13</v>
      </c>
      <c r="E947" t="s">
        <v>17</v>
      </c>
      <c r="F947" t="s">
        <v>23</v>
      </c>
      <c r="G947" t="s">
        <v>26</v>
      </c>
      <c r="H947">
        <v>15</v>
      </c>
      <c r="I947">
        <v>200159</v>
      </c>
      <c r="J947" t="s">
        <v>29</v>
      </c>
      <c r="K947" t="s">
        <v>8</v>
      </c>
      <c r="L947" t="s">
        <v>32</v>
      </c>
      <c r="M947">
        <v>4</v>
      </c>
    </row>
    <row r="948" spans="1:13" x14ac:dyDescent="0.3">
      <c r="A948">
        <v>100947</v>
      </c>
      <c r="B948">
        <v>2</v>
      </c>
      <c r="C948" t="str">
        <f t="shared" si="14"/>
        <v>0-18</v>
      </c>
      <c r="D948" t="s">
        <v>13</v>
      </c>
      <c r="E948" t="s">
        <v>16</v>
      </c>
      <c r="F948" t="s">
        <v>21</v>
      </c>
      <c r="G948" t="s">
        <v>27</v>
      </c>
      <c r="H948">
        <v>1</v>
      </c>
      <c r="I948">
        <v>49922</v>
      </c>
      <c r="J948" t="s">
        <v>29</v>
      </c>
      <c r="K948" t="s">
        <v>31</v>
      </c>
      <c r="L948" t="s">
        <v>33</v>
      </c>
      <c r="M948">
        <v>5</v>
      </c>
    </row>
    <row r="949" spans="1:13" x14ac:dyDescent="0.3">
      <c r="A949">
        <v>100948</v>
      </c>
      <c r="B949">
        <v>13</v>
      </c>
      <c r="C949" t="str">
        <f t="shared" si="14"/>
        <v>0-18</v>
      </c>
      <c r="D949" t="s">
        <v>13</v>
      </c>
      <c r="E949" t="s">
        <v>14</v>
      </c>
      <c r="F949" t="s">
        <v>22</v>
      </c>
      <c r="G949" t="s">
        <v>26</v>
      </c>
      <c r="H949">
        <v>17</v>
      </c>
      <c r="I949">
        <v>196152</v>
      </c>
      <c r="J949" t="s">
        <v>28</v>
      </c>
      <c r="K949" t="s">
        <v>8</v>
      </c>
      <c r="L949" t="s">
        <v>33</v>
      </c>
      <c r="M949">
        <v>2</v>
      </c>
    </row>
    <row r="950" spans="1:13" x14ac:dyDescent="0.3">
      <c r="A950">
        <v>100949</v>
      </c>
      <c r="B950">
        <v>40</v>
      </c>
      <c r="C950" t="str">
        <f t="shared" si="14"/>
        <v>19-40</v>
      </c>
      <c r="D950" t="s">
        <v>13</v>
      </c>
      <c r="E950" t="s">
        <v>17</v>
      </c>
      <c r="F950" t="s">
        <v>24</v>
      </c>
      <c r="G950" t="s">
        <v>26</v>
      </c>
      <c r="H950">
        <v>2</v>
      </c>
      <c r="I950">
        <v>95348</v>
      </c>
      <c r="J950" t="s">
        <v>28</v>
      </c>
      <c r="K950" t="s">
        <v>8</v>
      </c>
      <c r="L950" t="s">
        <v>33</v>
      </c>
      <c r="M950">
        <v>3</v>
      </c>
    </row>
    <row r="951" spans="1:13" x14ac:dyDescent="0.3">
      <c r="A951">
        <v>100950</v>
      </c>
      <c r="B951">
        <v>2</v>
      </c>
      <c r="C951" t="str">
        <f t="shared" si="14"/>
        <v>0-18</v>
      </c>
      <c r="D951" t="s">
        <v>13</v>
      </c>
      <c r="E951" t="s">
        <v>19</v>
      </c>
      <c r="F951" t="s">
        <v>20</v>
      </c>
      <c r="G951" t="s">
        <v>27</v>
      </c>
      <c r="H951">
        <v>6</v>
      </c>
      <c r="I951">
        <v>81335</v>
      </c>
      <c r="J951" t="s">
        <v>29</v>
      </c>
      <c r="K951" t="s">
        <v>8</v>
      </c>
      <c r="L951" t="s">
        <v>34</v>
      </c>
      <c r="M951">
        <v>3</v>
      </c>
    </row>
    <row r="952" spans="1:13" x14ac:dyDescent="0.3">
      <c r="A952">
        <v>100951</v>
      </c>
      <c r="B952">
        <v>84</v>
      </c>
      <c r="C952" t="str">
        <f t="shared" si="14"/>
        <v>60+</v>
      </c>
      <c r="D952" t="s">
        <v>13</v>
      </c>
      <c r="E952" t="s">
        <v>15</v>
      </c>
      <c r="F952" t="s">
        <v>24</v>
      </c>
      <c r="G952" t="s">
        <v>26</v>
      </c>
      <c r="H952">
        <v>8</v>
      </c>
      <c r="I952">
        <v>28312</v>
      </c>
      <c r="J952" t="s">
        <v>28</v>
      </c>
      <c r="K952" t="s">
        <v>30</v>
      </c>
      <c r="L952" t="s">
        <v>32</v>
      </c>
      <c r="M952">
        <v>4</v>
      </c>
    </row>
    <row r="953" spans="1:13" x14ac:dyDescent="0.3">
      <c r="A953">
        <v>100952</v>
      </c>
      <c r="B953">
        <v>65</v>
      </c>
      <c r="C953" t="str">
        <f t="shared" si="14"/>
        <v>60+</v>
      </c>
      <c r="D953" t="s">
        <v>12</v>
      </c>
      <c r="E953" t="s">
        <v>15</v>
      </c>
      <c r="F953" t="s">
        <v>21</v>
      </c>
      <c r="G953" t="s">
        <v>26</v>
      </c>
      <c r="H953">
        <v>16</v>
      </c>
      <c r="I953">
        <v>238228</v>
      </c>
      <c r="J953" t="s">
        <v>29</v>
      </c>
      <c r="K953" t="s">
        <v>31</v>
      </c>
      <c r="L953" t="s">
        <v>35</v>
      </c>
      <c r="M953">
        <v>1</v>
      </c>
    </row>
    <row r="954" spans="1:13" x14ac:dyDescent="0.3">
      <c r="A954">
        <v>100953</v>
      </c>
      <c r="B954">
        <v>63</v>
      </c>
      <c r="C954" t="str">
        <f t="shared" si="14"/>
        <v>60+</v>
      </c>
      <c r="D954" t="s">
        <v>12</v>
      </c>
      <c r="E954" t="s">
        <v>18</v>
      </c>
      <c r="F954" t="s">
        <v>22</v>
      </c>
      <c r="G954" t="s">
        <v>26</v>
      </c>
      <c r="H954">
        <v>19</v>
      </c>
      <c r="I954">
        <v>68985</v>
      </c>
      <c r="J954" t="s">
        <v>29</v>
      </c>
      <c r="K954" t="s">
        <v>30</v>
      </c>
      <c r="L954" t="s">
        <v>35</v>
      </c>
      <c r="M954">
        <v>5</v>
      </c>
    </row>
    <row r="955" spans="1:13" x14ac:dyDescent="0.3">
      <c r="A955">
        <v>100954</v>
      </c>
      <c r="B955">
        <v>73</v>
      </c>
      <c r="C955" t="str">
        <f t="shared" si="14"/>
        <v>60+</v>
      </c>
      <c r="D955" t="s">
        <v>12</v>
      </c>
      <c r="E955" t="s">
        <v>18</v>
      </c>
      <c r="F955" t="s">
        <v>21</v>
      </c>
      <c r="G955" t="s">
        <v>27</v>
      </c>
      <c r="H955">
        <v>1</v>
      </c>
      <c r="I955">
        <v>132744</v>
      </c>
      <c r="J955" t="s">
        <v>28</v>
      </c>
      <c r="K955" t="s">
        <v>31</v>
      </c>
      <c r="L955" t="s">
        <v>32</v>
      </c>
      <c r="M955">
        <v>4</v>
      </c>
    </row>
    <row r="956" spans="1:13" x14ac:dyDescent="0.3">
      <c r="A956">
        <v>100955</v>
      </c>
      <c r="B956">
        <v>17</v>
      </c>
      <c r="C956" t="str">
        <f t="shared" si="14"/>
        <v>0-18</v>
      </c>
      <c r="D956" t="s">
        <v>13</v>
      </c>
      <c r="E956" t="s">
        <v>15</v>
      </c>
      <c r="F956" t="s">
        <v>22</v>
      </c>
      <c r="G956" t="s">
        <v>26</v>
      </c>
      <c r="H956">
        <v>3</v>
      </c>
      <c r="I956">
        <v>190680</v>
      </c>
      <c r="J956" t="s">
        <v>29</v>
      </c>
      <c r="K956" t="s">
        <v>31</v>
      </c>
      <c r="L956" t="s">
        <v>35</v>
      </c>
      <c r="M956">
        <v>2</v>
      </c>
    </row>
    <row r="957" spans="1:13" x14ac:dyDescent="0.3">
      <c r="A957">
        <v>100956</v>
      </c>
      <c r="B957">
        <v>9</v>
      </c>
      <c r="C957" t="str">
        <f t="shared" si="14"/>
        <v>0-18</v>
      </c>
      <c r="D957" t="s">
        <v>12</v>
      </c>
      <c r="E957" t="s">
        <v>15</v>
      </c>
      <c r="F957" t="s">
        <v>23</v>
      </c>
      <c r="G957" t="s">
        <v>27</v>
      </c>
      <c r="H957">
        <v>3</v>
      </c>
      <c r="I957">
        <v>223034</v>
      </c>
      <c r="J957" t="s">
        <v>28</v>
      </c>
      <c r="K957" t="s">
        <v>31</v>
      </c>
      <c r="L957" t="s">
        <v>35</v>
      </c>
      <c r="M957">
        <v>2</v>
      </c>
    </row>
    <row r="958" spans="1:13" x14ac:dyDescent="0.3">
      <c r="A958">
        <v>100957</v>
      </c>
      <c r="B958">
        <v>75</v>
      </c>
      <c r="C958" t="str">
        <f t="shared" si="14"/>
        <v>60+</v>
      </c>
      <c r="D958" t="s">
        <v>12</v>
      </c>
      <c r="E958" t="s">
        <v>19</v>
      </c>
      <c r="F958" t="s">
        <v>20</v>
      </c>
      <c r="G958" t="s">
        <v>27</v>
      </c>
      <c r="H958">
        <v>5</v>
      </c>
      <c r="I958">
        <v>102963</v>
      </c>
      <c r="J958" t="s">
        <v>28</v>
      </c>
      <c r="K958" t="s">
        <v>30</v>
      </c>
      <c r="L958" t="s">
        <v>32</v>
      </c>
      <c r="M958">
        <v>2</v>
      </c>
    </row>
    <row r="959" spans="1:13" x14ac:dyDescent="0.3">
      <c r="A959">
        <v>100958</v>
      </c>
      <c r="B959">
        <v>15</v>
      </c>
      <c r="C959" t="str">
        <f t="shared" si="14"/>
        <v>0-18</v>
      </c>
      <c r="D959" t="s">
        <v>12</v>
      </c>
      <c r="E959" t="s">
        <v>16</v>
      </c>
      <c r="F959" t="s">
        <v>23</v>
      </c>
      <c r="G959" t="s">
        <v>25</v>
      </c>
      <c r="H959">
        <v>12</v>
      </c>
      <c r="I959">
        <v>173349</v>
      </c>
      <c r="J959" t="s">
        <v>28</v>
      </c>
      <c r="K959" t="s">
        <v>31</v>
      </c>
      <c r="L959" t="s">
        <v>35</v>
      </c>
      <c r="M959">
        <v>4</v>
      </c>
    </row>
    <row r="960" spans="1:13" x14ac:dyDescent="0.3">
      <c r="A960">
        <v>100959</v>
      </c>
      <c r="B960">
        <v>24</v>
      </c>
      <c r="C960" t="str">
        <f t="shared" si="14"/>
        <v>19-40</v>
      </c>
      <c r="D960" t="s">
        <v>13</v>
      </c>
      <c r="E960" t="s">
        <v>18</v>
      </c>
      <c r="F960" t="s">
        <v>23</v>
      </c>
      <c r="G960" t="s">
        <v>25</v>
      </c>
      <c r="H960">
        <v>12</v>
      </c>
      <c r="I960">
        <v>33551</v>
      </c>
      <c r="J960" t="s">
        <v>29</v>
      </c>
      <c r="K960" t="s">
        <v>30</v>
      </c>
      <c r="L960" t="s">
        <v>33</v>
      </c>
      <c r="M960">
        <v>5</v>
      </c>
    </row>
    <row r="961" spans="1:13" x14ac:dyDescent="0.3">
      <c r="A961">
        <v>100960</v>
      </c>
      <c r="B961">
        <v>38</v>
      </c>
      <c r="C961" t="str">
        <f t="shared" si="14"/>
        <v>19-40</v>
      </c>
      <c r="D961" t="s">
        <v>13</v>
      </c>
      <c r="E961" t="s">
        <v>16</v>
      </c>
      <c r="F961" t="s">
        <v>21</v>
      </c>
      <c r="G961" t="s">
        <v>26</v>
      </c>
      <c r="H961">
        <v>13</v>
      </c>
      <c r="I961">
        <v>91813</v>
      </c>
      <c r="J961" t="s">
        <v>28</v>
      </c>
      <c r="K961" t="s">
        <v>8</v>
      </c>
      <c r="L961" t="s">
        <v>34</v>
      </c>
      <c r="M961">
        <v>3</v>
      </c>
    </row>
    <row r="962" spans="1:13" x14ac:dyDescent="0.3">
      <c r="A962">
        <v>100961</v>
      </c>
      <c r="B962">
        <v>35</v>
      </c>
      <c r="C962" t="str">
        <f t="shared" ref="C962:C1001" si="15">IF(B962&lt;=18,"0-18",IF(B962&lt;=40,"19-40",IF(B962&lt;=60,"41-60","60+")))</f>
        <v>19-40</v>
      </c>
      <c r="D962" t="s">
        <v>13</v>
      </c>
      <c r="E962" t="s">
        <v>19</v>
      </c>
      <c r="F962" t="s">
        <v>20</v>
      </c>
      <c r="G962" t="s">
        <v>27</v>
      </c>
      <c r="H962">
        <v>9</v>
      </c>
      <c r="I962">
        <v>189669</v>
      </c>
      <c r="J962" t="s">
        <v>29</v>
      </c>
      <c r="K962" t="s">
        <v>31</v>
      </c>
      <c r="L962" t="s">
        <v>32</v>
      </c>
      <c r="M962">
        <v>1</v>
      </c>
    </row>
    <row r="963" spans="1:13" x14ac:dyDescent="0.3">
      <c r="A963">
        <v>100962</v>
      </c>
      <c r="B963">
        <v>49</v>
      </c>
      <c r="C963" t="str">
        <f t="shared" si="15"/>
        <v>41-60</v>
      </c>
      <c r="D963" t="s">
        <v>13</v>
      </c>
      <c r="E963" t="s">
        <v>15</v>
      </c>
      <c r="F963" t="s">
        <v>22</v>
      </c>
      <c r="G963" t="s">
        <v>25</v>
      </c>
      <c r="H963">
        <v>7</v>
      </c>
      <c r="I963">
        <v>103025</v>
      </c>
      <c r="J963" t="s">
        <v>28</v>
      </c>
      <c r="K963" t="s">
        <v>31</v>
      </c>
      <c r="L963" t="s">
        <v>34</v>
      </c>
      <c r="M963">
        <v>3</v>
      </c>
    </row>
    <row r="964" spans="1:13" x14ac:dyDescent="0.3">
      <c r="A964">
        <v>100963</v>
      </c>
      <c r="B964">
        <v>69</v>
      </c>
      <c r="C964" t="str">
        <f t="shared" si="15"/>
        <v>60+</v>
      </c>
      <c r="D964" t="s">
        <v>12</v>
      </c>
      <c r="E964" t="s">
        <v>17</v>
      </c>
      <c r="F964" t="s">
        <v>22</v>
      </c>
      <c r="G964" t="s">
        <v>26</v>
      </c>
      <c r="H964">
        <v>4</v>
      </c>
      <c r="I964">
        <v>126342</v>
      </c>
      <c r="J964" t="s">
        <v>28</v>
      </c>
      <c r="K964" t="s">
        <v>8</v>
      </c>
      <c r="L964" t="s">
        <v>35</v>
      </c>
      <c r="M964">
        <v>5</v>
      </c>
    </row>
    <row r="965" spans="1:13" x14ac:dyDescent="0.3">
      <c r="A965">
        <v>100964</v>
      </c>
      <c r="B965">
        <v>62</v>
      </c>
      <c r="C965" t="str">
        <f t="shared" si="15"/>
        <v>60+</v>
      </c>
      <c r="D965" t="s">
        <v>12</v>
      </c>
      <c r="E965" t="s">
        <v>16</v>
      </c>
      <c r="F965" t="s">
        <v>24</v>
      </c>
      <c r="G965" t="s">
        <v>25</v>
      </c>
      <c r="H965">
        <v>19</v>
      </c>
      <c r="I965">
        <v>178284</v>
      </c>
      <c r="J965" t="s">
        <v>29</v>
      </c>
      <c r="K965" t="s">
        <v>8</v>
      </c>
      <c r="L965" t="s">
        <v>35</v>
      </c>
      <c r="M965">
        <v>3</v>
      </c>
    </row>
    <row r="966" spans="1:13" x14ac:dyDescent="0.3">
      <c r="A966">
        <v>100965</v>
      </c>
      <c r="B966">
        <v>60</v>
      </c>
      <c r="C966" t="str">
        <f t="shared" si="15"/>
        <v>41-60</v>
      </c>
      <c r="D966" t="s">
        <v>12</v>
      </c>
      <c r="E966" t="s">
        <v>15</v>
      </c>
      <c r="F966" t="s">
        <v>22</v>
      </c>
      <c r="G966" t="s">
        <v>25</v>
      </c>
      <c r="H966">
        <v>19</v>
      </c>
      <c r="I966">
        <v>11637</v>
      </c>
      <c r="J966" t="s">
        <v>28</v>
      </c>
      <c r="K966" t="s">
        <v>31</v>
      </c>
      <c r="L966" t="s">
        <v>33</v>
      </c>
      <c r="M966">
        <v>4</v>
      </c>
    </row>
    <row r="967" spans="1:13" x14ac:dyDescent="0.3">
      <c r="A967">
        <v>100966</v>
      </c>
      <c r="B967">
        <v>50</v>
      </c>
      <c r="C967" t="str">
        <f t="shared" si="15"/>
        <v>41-60</v>
      </c>
      <c r="D967" t="s">
        <v>12</v>
      </c>
      <c r="E967" t="s">
        <v>15</v>
      </c>
      <c r="F967" t="s">
        <v>21</v>
      </c>
      <c r="G967" t="s">
        <v>27</v>
      </c>
      <c r="H967">
        <v>6</v>
      </c>
      <c r="I967">
        <v>45258</v>
      </c>
      <c r="J967" t="s">
        <v>28</v>
      </c>
      <c r="K967" t="s">
        <v>8</v>
      </c>
      <c r="L967" t="s">
        <v>32</v>
      </c>
      <c r="M967">
        <v>2</v>
      </c>
    </row>
    <row r="968" spans="1:13" x14ac:dyDescent="0.3">
      <c r="A968">
        <v>100967</v>
      </c>
      <c r="B968">
        <v>78</v>
      </c>
      <c r="C968" t="str">
        <f t="shared" si="15"/>
        <v>60+</v>
      </c>
      <c r="D968" t="s">
        <v>13</v>
      </c>
      <c r="E968" t="s">
        <v>14</v>
      </c>
      <c r="F968" t="s">
        <v>23</v>
      </c>
      <c r="G968" t="s">
        <v>27</v>
      </c>
      <c r="H968">
        <v>13</v>
      </c>
      <c r="I968">
        <v>168765</v>
      </c>
      <c r="J968" t="s">
        <v>29</v>
      </c>
      <c r="K968" t="s">
        <v>30</v>
      </c>
      <c r="L968" t="s">
        <v>35</v>
      </c>
      <c r="M968">
        <v>5</v>
      </c>
    </row>
    <row r="969" spans="1:13" x14ac:dyDescent="0.3">
      <c r="A969">
        <v>100968</v>
      </c>
      <c r="B969">
        <v>75</v>
      </c>
      <c r="C969" t="str">
        <f t="shared" si="15"/>
        <v>60+</v>
      </c>
      <c r="D969" t="s">
        <v>13</v>
      </c>
      <c r="E969" t="s">
        <v>16</v>
      </c>
      <c r="F969" t="s">
        <v>23</v>
      </c>
      <c r="G969" t="s">
        <v>25</v>
      </c>
      <c r="H969">
        <v>11</v>
      </c>
      <c r="I969">
        <v>142896</v>
      </c>
      <c r="J969" t="s">
        <v>29</v>
      </c>
      <c r="K969" t="s">
        <v>30</v>
      </c>
      <c r="L969" t="s">
        <v>32</v>
      </c>
      <c r="M969">
        <v>5</v>
      </c>
    </row>
    <row r="970" spans="1:13" x14ac:dyDescent="0.3">
      <c r="A970">
        <v>100969</v>
      </c>
      <c r="B970">
        <v>9</v>
      </c>
      <c r="C970" t="str">
        <f t="shared" si="15"/>
        <v>0-18</v>
      </c>
      <c r="D970" t="s">
        <v>13</v>
      </c>
      <c r="E970" t="s">
        <v>17</v>
      </c>
      <c r="F970" t="s">
        <v>23</v>
      </c>
      <c r="G970" t="s">
        <v>25</v>
      </c>
      <c r="H970">
        <v>13</v>
      </c>
      <c r="I970">
        <v>131553</v>
      </c>
      <c r="J970" t="s">
        <v>29</v>
      </c>
      <c r="K970" t="s">
        <v>31</v>
      </c>
      <c r="L970" t="s">
        <v>32</v>
      </c>
      <c r="M970">
        <v>3</v>
      </c>
    </row>
    <row r="971" spans="1:13" x14ac:dyDescent="0.3">
      <c r="A971">
        <v>100970</v>
      </c>
      <c r="B971">
        <v>34</v>
      </c>
      <c r="C971" t="str">
        <f t="shared" si="15"/>
        <v>19-40</v>
      </c>
      <c r="D971" t="s">
        <v>12</v>
      </c>
      <c r="E971" t="s">
        <v>16</v>
      </c>
      <c r="F971" t="s">
        <v>20</v>
      </c>
      <c r="G971" t="s">
        <v>27</v>
      </c>
      <c r="H971">
        <v>13</v>
      </c>
      <c r="I971">
        <v>28950</v>
      </c>
      <c r="J971" t="s">
        <v>28</v>
      </c>
      <c r="K971" t="s">
        <v>30</v>
      </c>
      <c r="L971" t="s">
        <v>32</v>
      </c>
      <c r="M971">
        <v>4</v>
      </c>
    </row>
    <row r="972" spans="1:13" x14ac:dyDescent="0.3">
      <c r="A972">
        <v>100971</v>
      </c>
      <c r="B972">
        <v>76</v>
      </c>
      <c r="C972" t="str">
        <f t="shared" si="15"/>
        <v>60+</v>
      </c>
      <c r="D972" t="s">
        <v>13</v>
      </c>
      <c r="E972" t="s">
        <v>15</v>
      </c>
      <c r="F972" t="s">
        <v>22</v>
      </c>
      <c r="G972" t="s">
        <v>26</v>
      </c>
      <c r="H972">
        <v>15</v>
      </c>
      <c r="I972">
        <v>156560</v>
      </c>
      <c r="J972" t="s">
        <v>29</v>
      </c>
      <c r="K972" t="s">
        <v>30</v>
      </c>
      <c r="L972" t="s">
        <v>32</v>
      </c>
      <c r="M972">
        <v>3</v>
      </c>
    </row>
    <row r="973" spans="1:13" x14ac:dyDescent="0.3">
      <c r="A973">
        <v>100972</v>
      </c>
      <c r="B973">
        <v>35</v>
      </c>
      <c r="C973" t="str">
        <f t="shared" si="15"/>
        <v>19-40</v>
      </c>
      <c r="D973" t="s">
        <v>13</v>
      </c>
      <c r="E973" t="s">
        <v>17</v>
      </c>
      <c r="F973" t="s">
        <v>21</v>
      </c>
      <c r="G973" t="s">
        <v>27</v>
      </c>
      <c r="H973">
        <v>13</v>
      </c>
      <c r="I973">
        <v>129870</v>
      </c>
      <c r="J973" t="s">
        <v>29</v>
      </c>
      <c r="K973" t="s">
        <v>31</v>
      </c>
      <c r="L973" t="s">
        <v>32</v>
      </c>
      <c r="M973">
        <v>3</v>
      </c>
    </row>
    <row r="974" spans="1:13" x14ac:dyDescent="0.3">
      <c r="A974">
        <v>100973</v>
      </c>
      <c r="B974">
        <v>1</v>
      </c>
      <c r="C974" t="str">
        <f t="shared" si="15"/>
        <v>0-18</v>
      </c>
      <c r="D974" t="s">
        <v>12</v>
      </c>
      <c r="E974" t="s">
        <v>19</v>
      </c>
      <c r="F974" t="s">
        <v>20</v>
      </c>
      <c r="G974" t="s">
        <v>25</v>
      </c>
      <c r="H974">
        <v>11</v>
      </c>
      <c r="I974">
        <v>237616</v>
      </c>
      <c r="J974" t="s">
        <v>28</v>
      </c>
      <c r="K974" t="s">
        <v>8</v>
      </c>
      <c r="L974" t="s">
        <v>34</v>
      </c>
      <c r="M974">
        <v>5</v>
      </c>
    </row>
    <row r="975" spans="1:13" x14ac:dyDescent="0.3">
      <c r="A975">
        <v>100974</v>
      </c>
      <c r="B975">
        <v>40</v>
      </c>
      <c r="C975" t="str">
        <f t="shared" si="15"/>
        <v>19-40</v>
      </c>
      <c r="D975" t="s">
        <v>12</v>
      </c>
      <c r="E975" t="s">
        <v>14</v>
      </c>
      <c r="F975" t="s">
        <v>24</v>
      </c>
      <c r="G975" t="s">
        <v>26</v>
      </c>
      <c r="H975">
        <v>19</v>
      </c>
      <c r="I975">
        <v>248272</v>
      </c>
      <c r="J975" t="s">
        <v>29</v>
      </c>
      <c r="K975" t="s">
        <v>31</v>
      </c>
      <c r="L975" t="s">
        <v>33</v>
      </c>
      <c r="M975">
        <v>3</v>
      </c>
    </row>
    <row r="976" spans="1:13" x14ac:dyDescent="0.3">
      <c r="A976">
        <v>100975</v>
      </c>
      <c r="B976">
        <v>64</v>
      </c>
      <c r="C976" t="str">
        <f t="shared" si="15"/>
        <v>60+</v>
      </c>
      <c r="D976" t="s">
        <v>13</v>
      </c>
      <c r="E976" t="s">
        <v>15</v>
      </c>
      <c r="F976" t="s">
        <v>21</v>
      </c>
      <c r="G976" t="s">
        <v>25</v>
      </c>
      <c r="H976">
        <v>8</v>
      </c>
      <c r="I976">
        <v>2215</v>
      </c>
      <c r="J976" t="s">
        <v>28</v>
      </c>
      <c r="K976" t="s">
        <v>30</v>
      </c>
      <c r="L976" t="s">
        <v>32</v>
      </c>
      <c r="M976">
        <v>2</v>
      </c>
    </row>
    <row r="977" spans="1:13" x14ac:dyDescent="0.3">
      <c r="A977">
        <v>100976</v>
      </c>
      <c r="B977">
        <v>22</v>
      </c>
      <c r="C977" t="str">
        <f t="shared" si="15"/>
        <v>19-40</v>
      </c>
      <c r="D977" t="s">
        <v>13</v>
      </c>
      <c r="E977" t="s">
        <v>18</v>
      </c>
      <c r="F977" t="s">
        <v>21</v>
      </c>
      <c r="G977" t="s">
        <v>26</v>
      </c>
      <c r="H977">
        <v>8</v>
      </c>
      <c r="I977">
        <v>107603</v>
      </c>
      <c r="J977" t="s">
        <v>28</v>
      </c>
      <c r="K977" t="s">
        <v>31</v>
      </c>
      <c r="L977" t="s">
        <v>34</v>
      </c>
      <c r="M977">
        <v>3</v>
      </c>
    </row>
    <row r="978" spans="1:13" x14ac:dyDescent="0.3">
      <c r="A978">
        <v>100977</v>
      </c>
      <c r="B978">
        <v>60</v>
      </c>
      <c r="C978" t="str">
        <f t="shared" si="15"/>
        <v>41-60</v>
      </c>
      <c r="D978" t="s">
        <v>13</v>
      </c>
      <c r="E978" t="s">
        <v>18</v>
      </c>
      <c r="F978" t="s">
        <v>21</v>
      </c>
      <c r="G978" t="s">
        <v>25</v>
      </c>
      <c r="H978">
        <v>10</v>
      </c>
      <c r="I978">
        <v>13523</v>
      </c>
      <c r="J978" t="s">
        <v>29</v>
      </c>
      <c r="K978" t="s">
        <v>31</v>
      </c>
      <c r="L978" t="s">
        <v>35</v>
      </c>
      <c r="M978">
        <v>2</v>
      </c>
    </row>
    <row r="979" spans="1:13" x14ac:dyDescent="0.3">
      <c r="A979">
        <v>100978</v>
      </c>
      <c r="B979">
        <v>64</v>
      </c>
      <c r="C979" t="str">
        <f t="shared" si="15"/>
        <v>60+</v>
      </c>
      <c r="D979" t="s">
        <v>13</v>
      </c>
      <c r="E979" t="s">
        <v>14</v>
      </c>
      <c r="F979" t="s">
        <v>23</v>
      </c>
      <c r="G979" t="s">
        <v>26</v>
      </c>
      <c r="H979">
        <v>16</v>
      </c>
      <c r="I979">
        <v>208972</v>
      </c>
      <c r="J979" t="s">
        <v>28</v>
      </c>
      <c r="K979" t="s">
        <v>30</v>
      </c>
      <c r="L979" t="s">
        <v>32</v>
      </c>
      <c r="M979">
        <v>5</v>
      </c>
    </row>
    <row r="980" spans="1:13" x14ac:dyDescent="0.3">
      <c r="A980">
        <v>100979</v>
      </c>
      <c r="B980">
        <v>72</v>
      </c>
      <c r="C980" t="str">
        <f t="shared" si="15"/>
        <v>60+</v>
      </c>
      <c r="D980" t="s">
        <v>13</v>
      </c>
      <c r="E980" t="s">
        <v>19</v>
      </c>
      <c r="F980" t="s">
        <v>21</v>
      </c>
      <c r="G980" t="s">
        <v>26</v>
      </c>
      <c r="H980">
        <v>19</v>
      </c>
      <c r="I980">
        <v>70689</v>
      </c>
      <c r="J980" t="s">
        <v>29</v>
      </c>
      <c r="K980" t="s">
        <v>30</v>
      </c>
      <c r="L980" t="s">
        <v>35</v>
      </c>
      <c r="M980">
        <v>4</v>
      </c>
    </row>
    <row r="981" spans="1:13" x14ac:dyDescent="0.3">
      <c r="A981">
        <v>100980</v>
      </c>
      <c r="B981">
        <v>11</v>
      </c>
      <c r="C981" t="str">
        <f t="shared" si="15"/>
        <v>0-18</v>
      </c>
      <c r="D981" t="s">
        <v>13</v>
      </c>
      <c r="E981" t="s">
        <v>15</v>
      </c>
      <c r="F981" t="s">
        <v>22</v>
      </c>
      <c r="G981" t="s">
        <v>25</v>
      </c>
      <c r="H981">
        <v>11</v>
      </c>
      <c r="I981">
        <v>25834</v>
      </c>
      <c r="J981" t="s">
        <v>29</v>
      </c>
      <c r="K981" t="s">
        <v>31</v>
      </c>
      <c r="L981" t="s">
        <v>32</v>
      </c>
      <c r="M981">
        <v>2</v>
      </c>
    </row>
    <row r="982" spans="1:13" x14ac:dyDescent="0.3">
      <c r="A982">
        <v>100981</v>
      </c>
      <c r="B982">
        <v>14</v>
      </c>
      <c r="C982" t="str">
        <f t="shared" si="15"/>
        <v>0-18</v>
      </c>
      <c r="D982" t="s">
        <v>12</v>
      </c>
      <c r="E982" t="s">
        <v>16</v>
      </c>
      <c r="F982" t="s">
        <v>21</v>
      </c>
      <c r="G982" t="s">
        <v>26</v>
      </c>
      <c r="H982">
        <v>13</v>
      </c>
      <c r="I982">
        <v>36474</v>
      </c>
      <c r="J982" t="s">
        <v>29</v>
      </c>
      <c r="K982" t="s">
        <v>30</v>
      </c>
      <c r="L982" t="s">
        <v>34</v>
      </c>
      <c r="M982">
        <v>4</v>
      </c>
    </row>
    <row r="983" spans="1:13" x14ac:dyDescent="0.3">
      <c r="A983">
        <v>100982</v>
      </c>
      <c r="B983">
        <v>60</v>
      </c>
      <c r="C983" t="str">
        <f t="shared" si="15"/>
        <v>41-60</v>
      </c>
      <c r="D983" t="s">
        <v>12</v>
      </c>
      <c r="E983" t="s">
        <v>14</v>
      </c>
      <c r="F983" t="s">
        <v>23</v>
      </c>
      <c r="G983" t="s">
        <v>27</v>
      </c>
      <c r="H983">
        <v>9</v>
      </c>
      <c r="I983">
        <v>45066</v>
      </c>
      <c r="J983" t="s">
        <v>29</v>
      </c>
      <c r="K983" t="s">
        <v>30</v>
      </c>
      <c r="L983" t="s">
        <v>34</v>
      </c>
      <c r="M983">
        <v>4</v>
      </c>
    </row>
    <row r="984" spans="1:13" x14ac:dyDescent="0.3">
      <c r="A984">
        <v>100983</v>
      </c>
      <c r="B984">
        <v>30</v>
      </c>
      <c r="C984" t="str">
        <f t="shared" si="15"/>
        <v>19-40</v>
      </c>
      <c r="D984" t="s">
        <v>12</v>
      </c>
      <c r="E984" t="s">
        <v>19</v>
      </c>
      <c r="F984" t="s">
        <v>21</v>
      </c>
      <c r="G984" t="s">
        <v>25</v>
      </c>
      <c r="H984">
        <v>19</v>
      </c>
      <c r="I984">
        <v>232943</v>
      </c>
      <c r="J984" t="s">
        <v>28</v>
      </c>
      <c r="K984" t="s">
        <v>30</v>
      </c>
      <c r="L984" t="s">
        <v>34</v>
      </c>
      <c r="M984">
        <v>2</v>
      </c>
    </row>
    <row r="985" spans="1:13" x14ac:dyDescent="0.3">
      <c r="A985">
        <v>100984</v>
      </c>
      <c r="B985">
        <v>35</v>
      </c>
      <c r="C985" t="str">
        <f t="shared" si="15"/>
        <v>19-40</v>
      </c>
      <c r="D985" t="s">
        <v>13</v>
      </c>
      <c r="E985" t="s">
        <v>16</v>
      </c>
      <c r="F985" t="s">
        <v>24</v>
      </c>
      <c r="G985" t="s">
        <v>27</v>
      </c>
      <c r="H985">
        <v>16</v>
      </c>
      <c r="I985">
        <v>12400</v>
      </c>
      <c r="J985" t="s">
        <v>28</v>
      </c>
      <c r="K985" t="s">
        <v>30</v>
      </c>
      <c r="L985" t="s">
        <v>33</v>
      </c>
      <c r="M985">
        <v>5</v>
      </c>
    </row>
    <row r="986" spans="1:13" x14ac:dyDescent="0.3">
      <c r="A986">
        <v>100985</v>
      </c>
      <c r="B986">
        <v>85</v>
      </c>
      <c r="C986" t="str">
        <f t="shared" si="15"/>
        <v>60+</v>
      </c>
      <c r="D986" t="s">
        <v>12</v>
      </c>
      <c r="E986" t="s">
        <v>18</v>
      </c>
      <c r="F986" t="s">
        <v>24</v>
      </c>
      <c r="G986" t="s">
        <v>25</v>
      </c>
      <c r="H986">
        <v>7</v>
      </c>
      <c r="I986">
        <v>127211</v>
      </c>
      <c r="J986" t="s">
        <v>29</v>
      </c>
      <c r="K986" t="s">
        <v>30</v>
      </c>
      <c r="L986" t="s">
        <v>35</v>
      </c>
      <c r="M986">
        <v>1</v>
      </c>
    </row>
    <row r="987" spans="1:13" x14ac:dyDescent="0.3">
      <c r="A987">
        <v>100986</v>
      </c>
      <c r="B987">
        <v>37</v>
      </c>
      <c r="C987" t="str">
        <f t="shared" si="15"/>
        <v>19-40</v>
      </c>
      <c r="D987" t="s">
        <v>13</v>
      </c>
      <c r="E987" t="s">
        <v>18</v>
      </c>
      <c r="F987" t="s">
        <v>23</v>
      </c>
      <c r="G987" t="s">
        <v>26</v>
      </c>
      <c r="H987">
        <v>19</v>
      </c>
      <c r="I987">
        <v>12345</v>
      </c>
      <c r="J987" t="s">
        <v>29</v>
      </c>
      <c r="K987" t="s">
        <v>30</v>
      </c>
      <c r="L987" t="s">
        <v>33</v>
      </c>
      <c r="M987">
        <v>4</v>
      </c>
    </row>
    <row r="988" spans="1:13" x14ac:dyDescent="0.3">
      <c r="A988">
        <v>100987</v>
      </c>
      <c r="B988">
        <v>5</v>
      </c>
      <c r="C988" t="str">
        <f t="shared" si="15"/>
        <v>0-18</v>
      </c>
      <c r="D988" t="s">
        <v>13</v>
      </c>
      <c r="E988" t="s">
        <v>16</v>
      </c>
      <c r="F988" t="s">
        <v>22</v>
      </c>
      <c r="G988" t="s">
        <v>26</v>
      </c>
      <c r="H988">
        <v>12</v>
      </c>
      <c r="I988">
        <v>35896</v>
      </c>
      <c r="J988" t="s">
        <v>28</v>
      </c>
      <c r="K988" t="s">
        <v>8</v>
      </c>
      <c r="L988" t="s">
        <v>32</v>
      </c>
      <c r="M988">
        <v>4</v>
      </c>
    </row>
    <row r="989" spans="1:13" x14ac:dyDescent="0.3">
      <c r="A989">
        <v>100988</v>
      </c>
      <c r="B989">
        <v>83</v>
      </c>
      <c r="C989" t="str">
        <f t="shared" si="15"/>
        <v>60+</v>
      </c>
      <c r="D989" t="s">
        <v>12</v>
      </c>
      <c r="E989" t="s">
        <v>14</v>
      </c>
      <c r="F989" t="s">
        <v>22</v>
      </c>
      <c r="G989" t="s">
        <v>26</v>
      </c>
      <c r="H989">
        <v>15</v>
      </c>
      <c r="I989">
        <v>218502</v>
      </c>
      <c r="J989" t="s">
        <v>29</v>
      </c>
      <c r="K989" t="s">
        <v>31</v>
      </c>
      <c r="L989" t="s">
        <v>35</v>
      </c>
      <c r="M989">
        <v>5</v>
      </c>
    </row>
    <row r="990" spans="1:13" x14ac:dyDescent="0.3">
      <c r="A990">
        <v>100989</v>
      </c>
      <c r="B990">
        <v>78</v>
      </c>
      <c r="C990" t="str">
        <f t="shared" si="15"/>
        <v>60+</v>
      </c>
      <c r="D990" t="s">
        <v>13</v>
      </c>
      <c r="E990" t="s">
        <v>18</v>
      </c>
      <c r="F990" t="s">
        <v>20</v>
      </c>
      <c r="G990" t="s">
        <v>25</v>
      </c>
      <c r="H990">
        <v>14</v>
      </c>
      <c r="I990">
        <v>30899</v>
      </c>
      <c r="J990" t="s">
        <v>28</v>
      </c>
      <c r="K990" t="s">
        <v>30</v>
      </c>
      <c r="L990" t="s">
        <v>34</v>
      </c>
      <c r="M990">
        <v>5</v>
      </c>
    </row>
    <row r="991" spans="1:13" x14ac:dyDescent="0.3">
      <c r="A991">
        <v>100990</v>
      </c>
      <c r="B991">
        <v>26</v>
      </c>
      <c r="C991" t="str">
        <f t="shared" si="15"/>
        <v>19-40</v>
      </c>
      <c r="D991" t="s">
        <v>13</v>
      </c>
      <c r="E991" t="s">
        <v>15</v>
      </c>
      <c r="F991" t="s">
        <v>23</v>
      </c>
      <c r="G991" t="s">
        <v>27</v>
      </c>
      <c r="H991">
        <v>11</v>
      </c>
      <c r="I991">
        <v>239243</v>
      </c>
      <c r="J991" t="s">
        <v>29</v>
      </c>
      <c r="K991" t="s">
        <v>31</v>
      </c>
      <c r="L991" t="s">
        <v>35</v>
      </c>
      <c r="M991">
        <v>3</v>
      </c>
    </row>
    <row r="992" spans="1:13" x14ac:dyDescent="0.3">
      <c r="A992">
        <v>100991</v>
      </c>
      <c r="B992">
        <v>62</v>
      </c>
      <c r="C992" t="str">
        <f t="shared" si="15"/>
        <v>60+</v>
      </c>
      <c r="D992" t="s">
        <v>12</v>
      </c>
      <c r="E992" t="s">
        <v>17</v>
      </c>
      <c r="F992" t="s">
        <v>21</v>
      </c>
      <c r="G992" t="s">
        <v>27</v>
      </c>
      <c r="H992">
        <v>10</v>
      </c>
      <c r="I992">
        <v>30229</v>
      </c>
      <c r="J992" t="s">
        <v>28</v>
      </c>
      <c r="K992" t="s">
        <v>8</v>
      </c>
      <c r="L992" t="s">
        <v>34</v>
      </c>
      <c r="M992">
        <v>5</v>
      </c>
    </row>
    <row r="993" spans="1:13" x14ac:dyDescent="0.3">
      <c r="A993">
        <v>100992</v>
      </c>
      <c r="B993">
        <v>4</v>
      </c>
      <c r="C993" t="str">
        <f t="shared" si="15"/>
        <v>0-18</v>
      </c>
      <c r="D993" t="s">
        <v>12</v>
      </c>
      <c r="E993" t="s">
        <v>16</v>
      </c>
      <c r="F993" t="s">
        <v>23</v>
      </c>
      <c r="G993" t="s">
        <v>25</v>
      </c>
      <c r="H993">
        <v>11</v>
      </c>
      <c r="I993">
        <v>7583</v>
      </c>
      <c r="J993" t="s">
        <v>28</v>
      </c>
      <c r="K993" t="s">
        <v>30</v>
      </c>
      <c r="L993" t="s">
        <v>33</v>
      </c>
      <c r="M993">
        <v>4</v>
      </c>
    </row>
    <row r="994" spans="1:13" x14ac:dyDescent="0.3">
      <c r="A994">
        <v>100993</v>
      </c>
      <c r="B994">
        <v>89</v>
      </c>
      <c r="C994" t="str">
        <f t="shared" si="15"/>
        <v>60+</v>
      </c>
      <c r="D994" t="s">
        <v>12</v>
      </c>
      <c r="E994" t="s">
        <v>16</v>
      </c>
      <c r="F994" t="s">
        <v>20</v>
      </c>
      <c r="G994" t="s">
        <v>25</v>
      </c>
      <c r="H994">
        <v>6</v>
      </c>
      <c r="I994">
        <v>137969</v>
      </c>
      <c r="J994" t="s">
        <v>28</v>
      </c>
      <c r="K994" t="s">
        <v>31</v>
      </c>
      <c r="L994" t="s">
        <v>33</v>
      </c>
      <c r="M994">
        <v>2</v>
      </c>
    </row>
    <row r="995" spans="1:13" x14ac:dyDescent="0.3">
      <c r="A995">
        <v>100994</v>
      </c>
      <c r="B995">
        <v>42</v>
      </c>
      <c r="C995" t="str">
        <f t="shared" si="15"/>
        <v>41-60</v>
      </c>
      <c r="D995" t="s">
        <v>13</v>
      </c>
      <c r="E995" t="s">
        <v>18</v>
      </c>
      <c r="F995" t="s">
        <v>23</v>
      </c>
      <c r="G995" t="s">
        <v>27</v>
      </c>
      <c r="H995">
        <v>2</v>
      </c>
      <c r="I995">
        <v>73537</v>
      </c>
      <c r="J995" t="s">
        <v>29</v>
      </c>
      <c r="K995" t="s">
        <v>30</v>
      </c>
      <c r="L995" t="s">
        <v>34</v>
      </c>
      <c r="M995">
        <v>1</v>
      </c>
    </row>
    <row r="996" spans="1:13" x14ac:dyDescent="0.3">
      <c r="A996">
        <v>100995</v>
      </c>
      <c r="B996">
        <v>89</v>
      </c>
      <c r="C996" t="str">
        <f t="shared" si="15"/>
        <v>60+</v>
      </c>
      <c r="D996" t="s">
        <v>12</v>
      </c>
      <c r="E996" t="s">
        <v>14</v>
      </c>
      <c r="F996" t="s">
        <v>23</v>
      </c>
      <c r="G996" t="s">
        <v>27</v>
      </c>
      <c r="H996">
        <v>11</v>
      </c>
      <c r="I996">
        <v>242489</v>
      </c>
      <c r="J996" t="s">
        <v>29</v>
      </c>
      <c r="K996" t="s">
        <v>30</v>
      </c>
      <c r="L996" t="s">
        <v>34</v>
      </c>
      <c r="M996">
        <v>3</v>
      </c>
    </row>
    <row r="997" spans="1:13" x14ac:dyDescent="0.3">
      <c r="A997">
        <v>100996</v>
      </c>
      <c r="B997">
        <v>18</v>
      </c>
      <c r="C997" t="str">
        <f t="shared" si="15"/>
        <v>0-18</v>
      </c>
      <c r="D997" t="s">
        <v>12</v>
      </c>
      <c r="E997" t="s">
        <v>15</v>
      </c>
      <c r="F997" t="s">
        <v>20</v>
      </c>
      <c r="G997" t="s">
        <v>27</v>
      </c>
      <c r="H997">
        <v>19</v>
      </c>
      <c r="I997">
        <v>137639</v>
      </c>
      <c r="J997" t="s">
        <v>29</v>
      </c>
      <c r="K997" t="s">
        <v>30</v>
      </c>
      <c r="L997" t="s">
        <v>32</v>
      </c>
      <c r="M997">
        <v>2</v>
      </c>
    </row>
    <row r="998" spans="1:13" x14ac:dyDescent="0.3">
      <c r="A998">
        <v>100997</v>
      </c>
      <c r="B998">
        <v>40</v>
      </c>
      <c r="C998" t="str">
        <f t="shared" si="15"/>
        <v>19-40</v>
      </c>
      <c r="D998" t="s">
        <v>13</v>
      </c>
      <c r="E998" t="s">
        <v>14</v>
      </c>
      <c r="F998" t="s">
        <v>22</v>
      </c>
      <c r="G998" t="s">
        <v>27</v>
      </c>
      <c r="H998">
        <v>6</v>
      </c>
      <c r="I998">
        <v>76807</v>
      </c>
      <c r="J998" t="s">
        <v>29</v>
      </c>
      <c r="K998" t="s">
        <v>30</v>
      </c>
      <c r="L998" t="s">
        <v>33</v>
      </c>
      <c r="M998">
        <v>1</v>
      </c>
    </row>
    <row r="999" spans="1:13" x14ac:dyDescent="0.3">
      <c r="A999">
        <v>100998</v>
      </c>
      <c r="B999">
        <v>72</v>
      </c>
      <c r="C999" t="str">
        <f t="shared" si="15"/>
        <v>60+</v>
      </c>
      <c r="D999" t="s">
        <v>12</v>
      </c>
      <c r="E999" t="s">
        <v>19</v>
      </c>
      <c r="F999" t="s">
        <v>21</v>
      </c>
      <c r="G999" t="s">
        <v>25</v>
      </c>
      <c r="H999">
        <v>14</v>
      </c>
      <c r="I999">
        <v>131648</v>
      </c>
      <c r="J999" t="s">
        <v>29</v>
      </c>
      <c r="K999" t="s">
        <v>30</v>
      </c>
      <c r="L999" t="s">
        <v>33</v>
      </c>
      <c r="M999">
        <v>1</v>
      </c>
    </row>
    <row r="1000" spans="1:13" x14ac:dyDescent="0.3">
      <c r="A1000">
        <v>100999</v>
      </c>
      <c r="B1000">
        <v>39</v>
      </c>
      <c r="C1000" t="str">
        <f t="shared" si="15"/>
        <v>19-40</v>
      </c>
      <c r="D1000" t="s">
        <v>12</v>
      </c>
      <c r="E1000" t="s">
        <v>19</v>
      </c>
      <c r="F1000" t="s">
        <v>20</v>
      </c>
      <c r="G1000" t="s">
        <v>25</v>
      </c>
      <c r="H1000">
        <v>6</v>
      </c>
      <c r="I1000">
        <v>114652</v>
      </c>
      <c r="J1000" t="s">
        <v>28</v>
      </c>
      <c r="K1000" t="s">
        <v>30</v>
      </c>
      <c r="L1000" t="s">
        <v>32</v>
      </c>
      <c r="M1000">
        <v>1</v>
      </c>
    </row>
    <row r="1001" spans="1:13" x14ac:dyDescent="0.3">
      <c r="A1001">
        <v>101000</v>
      </c>
      <c r="B1001">
        <v>14</v>
      </c>
      <c r="C1001" t="str">
        <f t="shared" si="15"/>
        <v>0-18</v>
      </c>
      <c r="D1001" t="s">
        <v>12</v>
      </c>
      <c r="E1001" t="s">
        <v>17</v>
      </c>
      <c r="F1001" t="s">
        <v>24</v>
      </c>
      <c r="G1001" t="s">
        <v>26</v>
      </c>
      <c r="H1001">
        <v>17</v>
      </c>
      <c r="I1001">
        <v>210311</v>
      </c>
      <c r="J1001" t="s">
        <v>28</v>
      </c>
      <c r="K1001" t="s">
        <v>30</v>
      </c>
      <c r="L1001" t="s">
        <v>33</v>
      </c>
      <c r="M1001">
        <v>2</v>
      </c>
    </row>
  </sheetData>
  <pageMargins left="0.7" right="0.7" top="0.75" bottom="0.75" header="0.3" footer="0.3"/>
  <drawing r:id="rId19"/>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48263-3E3E-44F2-9EF5-2F718F71E948}">
  <dimension ref="D4:AC66"/>
  <sheetViews>
    <sheetView zoomScale="48" zoomScaleNormal="16" workbookViewId="0">
      <selection activeCell="AF55" sqref="AF55"/>
    </sheetView>
  </sheetViews>
  <sheetFormatPr defaultRowHeight="14.4" x14ac:dyDescent="0.3"/>
  <sheetData>
    <row r="4" spans="4:29" x14ac:dyDescent="0.3">
      <c r="D4" s="8"/>
      <c r="E4" s="8"/>
      <c r="F4" s="8"/>
      <c r="G4" s="8"/>
      <c r="H4" s="8"/>
      <c r="I4" s="8"/>
      <c r="J4" s="8"/>
      <c r="K4" s="8"/>
      <c r="L4" s="8"/>
      <c r="M4" s="8"/>
      <c r="N4" s="8"/>
      <c r="O4" s="8"/>
      <c r="P4" s="8"/>
      <c r="Q4" s="8"/>
      <c r="R4" s="8"/>
      <c r="S4" s="8"/>
      <c r="T4" s="8"/>
      <c r="U4" s="8"/>
      <c r="V4" s="8"/>
      <c r="W4" s="8"/>
      <c r="X4" s="8"/>
      <c r="Y4" s="8"/>
      <c r="Z4" s="8"/>
      <c r="AA4" s="8"/>
      <c r="AB4" s="8"/>
      <c r="AC4" s="8"/>
    </row>
    <row r="5" spans="4:29" x14ac:dyDescent="0.3">
      <c r="D5" s="8"/>
      <c r="E5" s="8"/>
      <c r="F5" s="8"/>
      <c r="G5" s="8"/>
      <c r="H5" s="8"/>
      <c r="I5" s="8"/>
      <c r="J5" s="8"/>
      <c r="K5" s="8"/>
      <c r="L5" s="8"/>
      <c r="M5" s="8"/>
      <c r="N5" s="8"/>
      <c r="O5" s="8"/>
      <c r="P5" s="8"/>
      <c r="Q5" s="8"/>
      <c r="R5" s="8"/>
      <c r="S5" s="8"/>
      <c r="T5" s="8"/>
      <c r="U5" s="8"/>
      <c r="V5" s="8"/>
      <c r="W5" s="8"/>
      <c r="X5" s="8"/>
      <c r="Y5" s="8"/>
      <c r="Z5" s="8"/>
      <c r="AA5" s="8"/>
      <c r="AB5" s="8"/>
      <c r="AC5" s="8"/>
    </row>
    <row r="6" spans="4:29" x14ac:dyDescent="0.3">
      <c r="D6" s="8"/>
      <c r="E6" s="8"/>
      <c r="F6" s="8"/>
      <c r="G6" s="8"/>
      <c r="H6" s="8"/>
      <c r="I6" s="8"/>
      <c r="J6" s="8"/>
      <c r="K6" s="8"/>
      <c r="L6" s="8"/>
      <c r="M6" s="8"/>
      <c r="N6" s="8"/>
      <c r="O6" s="8"/>
      <c r="P6" s="8"/>
      <c r="Q6" s="8"/>
      <c r="R6" s="8"/>
      <c r="S6" s="8"/>
      <c r="T6" s="8"/>
      <c r="U6" s="8"/>
      <c r="V6" s="8"/>
      <c r="W6" s="8"/>
      <c r="X6" s="8"/>
      <c r="Y6" s="8"/>
      <c r="Z6" s="8"/>
      <c r="AA6" s="8"/>
      <c r="AB6" s="8"/>
      <c r="AC6" s="8"/>
    </row>
    <row r="7" spans="4:29" x14ac:dyDescent="0.3">
      <c r="D7" s="8"/>
      <c r="E7" s="8"/>
      <c r="F7" s="8"/>
      <c r="G7" s="8"/>
      <c r="H7" s="8"/>
      <c r="I7" s="8"/>
      <c r="J7" s="8"/>
      <c r="K7" s="8"/>
      <c r="L7" s="8"/>
      <c r="M7" s="8"/>
      <c r="N7" s="8"/>
      <c r="O7" s="8"/>
      <c r="P7" s="8"/>
      <c r="Q7" s="8"/>
      <c r="R7" s="8"/>
      <c r="S7" s="8"/>
      <c r="T7" s="8"/>
      <c r="U7" s="8"/>
      <c r="V7" s="8"/>
      <c r="W7" s="8"/>
      <c r="X7" s="8"/>
      <c r="Y7" s="8"/>
      <c r="Z7" s="8"/>
      <c r="AA7" s="8"/>
      <c r="AB7" s="8"/>
      <c r="AC7" s="8"/>
    </row>
    <row r="8" spans="4:29" x14ac:dyDescent="0.3">
      <c r="D8" s="8"/>
      <c r="E8" s="8"/>
      <c r="F8" s="8"/>
      <c r="G8" s="8"/>
      <c r="H8" s="8"/>
      <c r="I8" s="8"/>
      <c r="J8" s="8"/>
      <c r="K8" s="8"/>
      <c r="L8" s="8"/>
      <c r="M8" s="8"/>
      <c r="N8" s="8"/>
      <c r="O8" s="8"/>
      <c r="P8" s="8"/>
      <c r="Q8" s="8"/>
      <c r="R8" s="8"/>
      <c r="S8" s="8"/>
      <c r="T8" s="8"/>
      <c r="U8" s="8"/>
      <c r="V8" s="8"/>
      <c r="W8" s="8"/>
      <c r="X8" s="8"/>
      <c r="Y8" s="8"/>
      <c r="Z8" s="8"/>
      <c r="AA8" s="8"/>
      <c r="AB8" s="8"/>
      <c r="AC8" s="8"/>
    </row>
    <row r="9" spans="4:29" x14ac:dyDescent="0.3">
      <c r="D9" s="8"/>
      <c r="E9" s="8"/>
      <c r="F9" s="8"/>
      <c r="G9" s="8"/>
      <c r="H9" s="8"/>
      <c r="I9" s="8"/>
      <c r="J9" s="8"/>
      <c r="K9" s="8"/>
      <c r="L9" s="8"/>
      <c r="M9" s="8"/>
      <c r="N9" s="8"/>
      <c r="O9" s="8"/>
      <c r="P9" s="8"/>
      <c r="Q9" s="8"/>
      <c r="R9" s="8"/>
      <c r="S9" s="8"/>
      <c r="T9" s="8"/>
      <c r="U9" s="8"/>
      <c r="V9" s="8"/>
      <c r="W9" s="8"/>
      <c r="X9" s="8"/>
      <c r="Y9" s="8"/>
      <c r="Z9" s="8"/>
      <c r="AA9" s="8"/>
      <c r="AB9" s="8"/>
      <c r="AC9" s="8"/>
    </row>
    <row r="10" spans="4:29" x14ac:dyDescent="0.3">
      <c r="D10" s="8"/>
      <c r="E10" s="8"/>
      <c r="F10" s="8"/>
      <c r="G10" s="8"/>
      <c r="H10" s="8"/>
      <c r="I10" s="8"/>
      <c r="J10" s="8"/>
      <c r="K10" s="8"/>
      <c r="L10" s="8"/>
      <c r="M10" s="8"/>
      <c r="N10" s="8"/>
      <c r="O10" s="8"/>
      <c r="P10" s="8"/>
      <c r="Q10" s="8"/>
      <c r="R10" s="8"/>
      <c r="S10" s="8"/>
      <c r="T10" s="8"/>
      <c r="U10" s="8"/>
      <c r="V10" s="8"/>
      <c r="W10" s="8"/>
      <c r="X10" s="8"/>
      <c r="Y10" s="8"/>
      <c r="Z10" s="8"/>
      <c r="AA10" s="8"/>
      <c r="AB10" s="8"/>
      <c r="AC10" s="8"/>
    </row>
    <row r="11" spans="4:29" x14ac:dyDescent="0.3">
      <c r="D11" s="8"/>
      <c r="E11" s="8"/>
      <c r="F11" s="8"/>
      <c r="G11" s="8"/>
      <c r="H11" s="8"/>
      <c r="I11" s="8"/>
      <c r="J11" s="8"/>
      <c r="K11" s="8"/>
      <c r="L11" s="8"/>
      <c r="M11" s="8"/>
      <c r="N11" s="8"/>
      <c r="O11" s="8"/>
      <c r="P11" s="8"/>
      <c r="Q11" s="8"/>
      <c r="R11" s="8"/>
      <c r="S11" s="8"/>
      <c r="T11" s="8"/>
      <c r="U11" s="8"/>
      <c r="V11" s="8"/>
      <c r="W11" s="8"/>
      <c r="X11" s="8"/>
      <c r="Y11" s="8"/>
      <c r="Z11" s="8"/>
      <c r="AA11" s="8"/>
      <c r="AB11" s="8"/>
      <c r="AC11" s="8"/>
    </row>
    <row r="12" spans="4:29" x14ac:dyDescent="0.3">
      <c r="D12" s="8"/>
      <c r="E12" s="8"/>
      <c r="F12" s="8"/>
      <c r="G12" s="8"/>
      <c r="H12" s="8"/>
      <c r="I12" s="8"/>
      <c r="J12" s="8"/>
      <c r="K12" s="8"/>
      <c r="L12" s="8"/>
      <c r="M12" s="8"/>
      <c r="N12" s="8"/>
      <c r="O12" s="8"/>
      <c r="P12" s="8"/>
      <c r="Q12" s="8"/>
      <c r="R12" s="8"/>
      <c r="S12" s="8"/>
      <c r="T12" s="8"/>
      <c r="U12" s="8"/>
      <c r="V12" s="8"/>
      <c r="W12" s="8"/>
      <c r="X12" s="8"/>
      <c r="Y12" s="8"/>
      <c r="Z12" s="8"/>
      <c r="AA12" s="8"/>
      <c r="AB12" s="8"/>
      <c r="AC12" s="8"/>
    </row>
    <row r="13" spans="4:29" x14ac:dyDescent="0.3">
      <c r="D13" s="8"/>
      <c r="E13" s="8"/>
      <c r="F13" s="8"/>
      <c r="G13" s="8"/>
      <c r="H13" s="8"/>
      <c r="I13" s="8"/>
      <c r="J13" s="8"/>
      <c r="K13" s="8"/>
      <c r="L13" s="8"/>
      <c r="M13" s="8"/>
      <c r="N13" s="8"/>
      <c r="O13" s="8"/>
      <c r="P13" s="8"/>
      <c r="Q13" s="8"/>
      <c r="R13" s="8"/>
      <c r="S13" s="8"/>
      <c r="T13" s="8"/>
      <c r="U13" s="8"/>
      <c r="V13" s="8"/>
      <c r="W13" s="8"/>
      <c r="X13" s="8"/>
      <c r="Y13" s="8"/>
      <c r="Z13" s="8"/>
      <c r="AA13" s="8"/>
      <c r="AB13" s="8"/>
      <c r="AC13" s="8"/>
    </row>
    <row r="14" spans="4:29" x14ac:dyDescent="0.3">
      <c r="D14" s="8"/>
      <c r="E14" s="8"/>
      <c r="F14" s="8"/>
      <c r="G14" s="8"/>
      <c r="H14" s="8"/>
      <c r="I14" s="8"/>
      <c r="J14" s="8"/>
      <c r="K14" s="8"/>
      <c r="L14" s="8"/>
      <c r="M14" s="8"/>
      <c r="N14" s="8"/>
      <c r="O14" s="8"/>
      <c r="P14" s="8"/>
      <c r="Q14" s="8"/>
      <c r="R14" s="8"/>
      <c r="S14" s="8"/>
      <c r="T14" s="8"/>
      <c r="U14" s="8"/>
      <c r="V14" s="8"/>
      <c r="W14" s="8"/>
      <c r="X14" s="8"/>
      <c r="Y14" s="8"/>
      <c r="Z14" s="8"/>
      <c r="AA14" s="8"/>
      <c r="AB14" s="8"/>
      <c r="AC14" s="8"/>
    </row>
    <row r="15" spans="4:29" x14ac:dyDescent="0.3">
      <c r="D15" s="8"/>
      <c r="E15" s="8"/>
      <c r="F15" s="8"/>
      <c r="G15" s="8"/>
      <c r="H15" s="8"/>
      <c r="I15" s="8"/>
      <c r="J15" s="8"/>
      <c r="K15" s="8"/>
      <c r="L15" s="8"/>
      <c r="M15" s="8"/>
      <c r="N15" s="8"/>
      <c r="O15" s="8"/>
      <c r="P15" s="8"/>
      <c r="Q15" s="8"/>
      <c r="R15" s="8"/>
      <c r="S15" s="8"/>
      <c r="T15" s="8"/>
      <c r="U15" s="8"/>
      <c r="V15" s="8"/>
      <c r="W15" s="8"/>
      <c r="X15" s="8"/>
      <c r="Y15" s="8"/>
      <c r="Z15" s="8"/>
      <c r="AA15" s="8"/>
      <c r="AB15" s="8"/>
      <c r="AC15" s="8"/>
    </row>
    <row r="16" spans="4:29" x14ac:dyDescent="0.3">
      <c r="D16" s="8"/>
      <c r="E16" s="8"/>
      <c r="F16" s="8"/>
      <c r="G16" s="8"/>
      <c r="H16" s="8"/>
      <c r="I16" s="8"/>
      <c r="J16" s="8"/>
      <c r="K16" s="8"/>
      <c r="L16" s="8"/>
      <c r="M16" s="8"/>
      <c r="N16" s="8"/>
      <c r="O16" s="8"/>
      <c r="P16" s="8"/>
      <c r="Q16" s="8"/>
      <c r="R16" s="8"/>
      <c r="S16" s="8"/>
      <c r="T16" s="8"/>
      <c r="U16" s="8"/>
      <c r="V16" s="8"/>
      <c r="W16" s="8"/>
      <c r="X16" s="8"/>
      <c r="Y16" s="8"/>
      <c r="Z16" s="8"/>
      <c r="AA16" s="8"/>
      <c r="AB16" s="8"/>
      <c r="AC16" s="8"/>
    </row>
    <row r="17" spans="4:29" x14ac:dyDescent="0.3">
      <c r="D17" s="8"/>
      <c r="E17" s="8"/>
      <c r="F17" s="8"/>
      <c r="G17" s="8"/>
      <c r="H17" s="8"/>
      <c r="I17" s="8"/>
      <c r="J17" s="8"/>
      <c r="K17" s="8"/>
      <c r="L17" s="8"/>
      <c r="M17" s="8"/>
      <c r="N17" s="8"/>
      <c r="O17" s="8"/>
      <c r="P17" s="8"/>
      <c r="Q17" s="8"/>
      <c r="R17" s="8"/>
      <c r="S17" s="8"/>
      <c r="T17" s="8"/>
      <c r="U17" s="8"/>
      <c r="V17" s="8"/>
      <c r="W17" s="8"/>
      <c r="X17" s="8"/>
      <c r="Y17" s="8"/>
      <c r="Z17" s="8"/>
      <c r="AA17" s="8"/>
      <c r="AB17" s="8"/>
      <c r="AC17" s="8"/>
    </row>
    <row r="18" spans="4:29" x14ac:dyDescent="0.3">
      <c r="D18" s="8"/>
      <c r="E18" s="8"/>
      <c r="F18" s="8"/>
      <c r="G18" s="8"/>
      <c r="H18" s="8"/>
      <c r="I18" s="8"/>
      <c r="J18" s="8"/>
      <c r="K18" s="8"/>
      <c r="L18" s="8"/>
      <c r="M18" s="8"/>
      <c r="N18" s="8"/>
      <c r="O18" s="8"/>
      <c r="P18" s="8"/>
      <c r="Q18" s="8"/>
      <c r="R18" s="8"/>
      <c r="S18" s="8"/>
      <c r="T18" s="8"/>
      <c r="U18" s="8"/>
      <c r="V18" s="8"/>
      <c r="W18" s="8"/>
      <c r="X18" s="8"/>
      <c r="Y18" s="8"/>
      <c r="Z18" s="8"/>
      <c r="AA18" s="8"/>
      <c r="AB18" s="8"/>
      <c r="AC18" s="8"/>
    </row>
    <row r="19" spans="4:29" x14ac:dyDescent="0.3">
      <c r="D19" s="8"/>
      <c r="E19" s="8"/>
      <c r="F19" s="8"/>
      <c r="G19" s="8"/>
      <c r="H19" s="8"/>
      <c r="I19" s="8"/>
      <c r="J19" s="8"/>
      <c r="K19" s="8"/>
      <c r="L19" s="8"/>
      <c r="M19" s="8"/>
      <c r="N19" s="8"/>
      <c r="O19" s="8"/>
      <c r="P19" s="8"/>
      <c r="Q19" s="8"/>
      <c r="R19" s="8"/>
      <c r="S19" s="8"/>
      <c r="T19" s="8"/>
      <c r="U19" s="8"/>
      <c r="V19" s="8"/>
      <c r="W19" s="8"/>
      <c r="X19" s="8"/>
      <c r="Y19" s="8"/>
      <c r="Z19" s="8"/>
      <c r="AA19" s="8"/>
      <c r="AB19" s="8"/>
      <c r="AC19" s="8"/>
    </row>
    <row r="20" spans="4:29" x14ac:dyDescent="0.3">
      <c r="D20" s="8"/>
      <c r="E20" s="8"/>
      <c r="F20" s="8"/>
      <c r="G20" s="8"/>
      <c r="H20" s="8"/>
      <c r="I20" s="8"/>
      <c r="J20" s="8"/>
      <c r="K20" s="8"/>
      <c r="L20" s="8"/>
      <c r="M20" s="8"/>
      <c r="N20" s="8"/>
      <c r="O20" s="8"/>
      <c r="P20" s="8"/>
      <c r="Q20" s="8"/>
      <c r="R20" s="8"/>
      <c r="S20" s="8"/>
      <c r="T20" s="8"/>
      <c r="U20" s="8"/>
      <c r="V20" s="8"/>
      <c r="W20" s="8"/>
      <c r="X20" s="8"/>
      <c r="Y20" s="8"/>
      <c r="Z20" s="8"/>
      <c r="AA20" s="8"/>
      <c r="AB20" s="8"/>
      <c r="AC20" s="8"/>
    </row>
    <row r="21" spans="4:29" x14ac:dyDescent="0.3">
      <c r="D21" s="8"/>
      <c r="E21" s="8"/>
      <c r="F21" s="8"/>
      <c r="G21" s="8"/>
      <c r="H21" s="8"/>
      <c r="I21" s="8"/>
      <c r="J21" s="8"/>
      <c r="K21" s="8"/>
      <c r="L21" s="8"/>
      <c r="M21" s="8"/>
      <c r="N21" s="8"/>
      <c r="O21" s="8"/>
      <c r="P21" s="8"/>
      <c r="Q21" s="8"/>
      <c r="R21" s="8"/>
      <c r="S21" s="8"/>
      <c r="T21" s="8"/>
      <c r="U21" s="8"/>
      <c r="V21" s="8"/>
      <c r="W21" s="8"/>
      <c r="X21" s="8"/>
      <c r="Y21" s="8"/>
      <c r="Z21" s="8"/>
      <c r="AA21" s="8"/>
      <c r="AB21" s="8"/>
      <c r="AC21" s="8"/>
    </row>
    <row r="22" spans="4:29" x14ac:dyDescent="0.3">
      <c r="D22" s="8"/>
      <c r="E22" s="8"/>
      <c r="F22" s="8"/>
      <c r="G22" s="8"/>
      <c r="H22" s="8"/>
      <c r="I22" s="8"/>
      <c r="J22" s="8"/>
      <c r="K22" s="8"/>
      <c r="L22" s="8"/>
      <c r="M22" s="8"/>
      <c r="N22" s="8"/>
      <c r="O22" s="8"/>
      <c r="P22" s="8"/>
      <c r="Q22" s="8"/>
      <c r="R22" s="8"/>
      <c r="S22" s="8"/>
      <c r="T22" s="8"/>
      <c r="U22" s="8"/>
      <c r="V22" s="8"/>
      <c r="W22" s="8"/>
      <c r="X22" s="8"/>
      <c r="Y22" s="8"/>
      <c r="Z22" s="8"/>
      <c r="AA22" s="8"/>
      <c r="AB22" s="8"/>
      <c r="AC22" s="8"/>
    </row>
    <row r="23" spans="4:29" x14ac:dyDescent="0.3">
      <c r="D23" s="8"/>
      <c r="E23" s="8"/>
      <c r="F23" s="8"/>
      <c r="G23" s="8"/>
      <c r="H23" s="8"/>
      <c r="I23" s="8"/>
      <c r="J23" s="8"/>
      <c r="K23" s="8"/>
      <c r="L23" s="8"/>
      <c r="M23" s="8"/>
      <c r="N23" s="8"/>
      <c r="O23" s="8"/>
      <c r="P23" s="8"/>
      <c r="Q23" s="8"/>
      <c r="R23" s="8"/>
      <c r="S23" s="8"/>
      <c r="T23" s="8"/>
      <c r="U23" s="8"/>
      <c r="V23" s="8"/>
      <c r="W23" s="8"/>
      <c r="X23" s="8"/>
      <c r="Y23" s="8"/>
      <c r="Z23" s="8"/>
      <c r="AA23" s="8"/>
      <c r="AB23" s="8"/>
      <c r="AC23" s="8"/>
    </row>
    <row r="24" spans="4:29" x14ac:dyDescent="0.3">
      <c r="D24" s="8"/>
      <c r="E24" s="8"/>
      <c r="F24" s="8"/>
      <c r="G24" s="8"/>
      <c r="H24" s="8"/>
      <c r="I24" s="8"/>
      <c r="J24" s="8"/>
      <c r="K24" s="8"/>
      <c r="L24" s="8"/>
      <c r="M24" s="8"/>
      <c r="N24" s="8"/>
      <c r="O24" s="8"/>
      <c r="P24" s="8"/>
      <c r="Q24" s="8"/>
      <c r="R24" s="8"/>
      <c r="S24" s="8"/>
      <c r="T24" s="8"/>
      <c r="U24" s="8"/>
      <c r="V24" s="8"/>
      <c r="W24" s="8"/>
      <c r="X24" s="8"/>
      <c r="Y24" s="8"/>
      <c r="Z24" s="8"/>
      <c r="AA24" s="8"/>
      <c r="AB24" s="8"/>
      <c r="AC24" s="8"/>
    </row>
    <row r="25" spans="4:29" x14ac:dyDescent="0.3">
      <c r="D25" s="8"/>
      <c r="E25" s="8"/>
      <c r="F25" s="8"/>
      <c r="G25" s="8"/>
      <c r="H25" s="8"/>
      <c r="I25" s="8"/>
      <c r="J25" s="8"/>
      <c r="K25" s="8"/>
      <c r="L25" s="8"/>
      <c r="M25" s="8"/>
      <c r="N25" s="8"/>
      <c r="O25" s="8"/>
      <c r="P25" s="8"/>
      <c r="Q25" s="8"/>
      <c r="R25" s="8"/>
      <c r="S25" s="8"/>
      <c r="T25" s="8"/>
      <c r="U25" s="8"/>
      <c r="V25" s="8"/>
      <c r="W25" s="8"/>
      <c r="X25" s="8"/>
      <c r="Y25" s="8"/>
      <c r="Z25" s="8"/>
      <c r="AA25" s="8"/>
      <c r="AB25" s="8"/>
      <c r="AC25" s="8"/>
    </row>
    <row r="26" spans="4:29" x14ac:dyDescent="0.3">
      <c r="D26" s="8"/>
      <c r="E26" s="8"/>
      <c r="F26" s="8"/>
      <c r="G26" s="8"/>
      <c r="H26" s="8"/>
      <c r="I26" s="8"/>
      <c r="J26" s="8"/>
      <c r="K26" s="8"/>
      <c r="L26" s="8"/>
      <c r="M26" s="8"/>
      <c r="N26" s="8"/>
      <c r="O26" s="8"/>
      <c r="P26" s="8"/>
      <c r="Q26" s="8"/>
      <c r="R26" s="8"/>
      <c r="S26" s="8"/>
      <c r="T26" s="8"/>
      <c r="U26" s="8"/>
      <c r="V26" s="8"/>
      <c r="W26" s="8"/>
      <c r="X26" s="8"/>
      <c r="Y26" s="8"/>
      <c r="Z26" s="8"/>
      <c r="AA26" s="8"/>
      <c r="AB26" s="8"/>
      <c r="AC26" s="8"/>
    </row>
    <row r="27" spans="4:29" x14ac:dyDescent="0.3">
      <c r="D27" s="8"/>
      <c r="E27" s="8"/>
      <c r="F27" s="8"/>
      <c r="G27" s="8"/>
      <c r="H27" s="8"/>
      <c r="I27" s="8"/>
      <c r="J27" s="8"/>
      <c r="K27" s="8"/>
      <c r="L27" s="8"/>
      <c r="M27" s="8"/>
      <c r="N27" s="8"/>
      <c r="O27" s="8"/>
      <c r="P27" s="8"/>
      <c r="Q27" s="8"/>
      <c r="R27" s="8"/>
      <c r="S27" s="8"/>
      <c r="T27" s="8"/>
      <c r="U27" s="8"/>
      <c r="V27" s="8"/>
      <c r="W27" s="8"/>
      <c r="X27" s="8"/>
      <c r="Y27" s="8"/>
      <c r="Z27" s="8"/>
      <c r="AA27" s="8"/>
      <c r="AB27" s="8"/>
      <c r="AC27" s="8"/>
    </row>
    <row r="28" spans="4:29" x14ac:dyDescent="0.3">
      <c r="D28" s="8"/>
      <c r="E28" s="8"/>
      <c r="F28" s="8"/>
      <c r="G28" s="8"/>
      <c r="H28" s="8"/>
      <c r="I28" s="8"/>
      <c r="J28" s="8"/>
      <c r="K28" s="8"/>
      <c r="L28" s="8"/>
      <c r="M28" s="8"/>
      <c r="N28" s="8"/>
      <c r="O28" s="8"/>
      <c r="P28" s="8"/>
      <c r="Q28" s="8"/>
      <c r="R28" s="8"/>
      <c r="S28" s="8"/>
      <c r="T28" s="8"/>
      <c r="U28" s="8"/>
      <c r="V28" s="8"/>
      <c r="W28" s="8"/>
      <c r="X28" s="8"/>
      <c r="Y28" s="8"/>
      <c r="Z28" s="8"/>
      <c r="AA28" s="8"/>
      <c r="AB28" s="8"/>
      <c r="AC28" s="8"/>
    </row>
    <row r="29" spans="4:29" x14ac:dyDescent="0.3">
      <c r="D29" s="8"/>
      <c r="E29" s="8"/>
      <c r="F29" s="8"/>
      <c r="G29" s="8"/>
      <c r="H29" s="8"/>
      <c r="I29" s="8"/>
      <c r="J29" s="8"/>
      <c r="K29" s="8"/>
      <c r="L29" s="8"/>
      <c r="M29" s="8"/>
      <c r="N29" s="8"/>
      <c r="O29" s="8"/>
      <c r="P29" s="8"/>
      <c r="Q29" s="8"/>
      <c r="R29" s="8"/>
      <c r="S29" s="8"/>
      <c r="T29" s="8"/>
      <c r="U29" s="8"/>
      <c r="V29" s="8"/>
      <c r="W29" s="8"/>
      <c r="X29" s="8"/>
      <c r="Y29" s="8"/>
      <c r="Z29" s="8"/>
      <c r="AA29" s="8"/>
      <c r="AB29" s="8"/>
      <c r="AC29" s="8"/>
    </row>
    <row r="30" spans="4:29" x14ac:dyDescent="0.3">
      <c r="D30" s="8"/>
      <c r="E30" s="8"/>
      <c r="F30" s="8"/>
      <c r="G30" s="8"/>
      <c r="H30" s="8"/>
      <c r="I30" s="8"/>
      <c r="J30" s="8"/>
      <c r="K30" s="8"/>
      <c r="L30" s="8"/>
      <c r="M30" s="8"/>
      <c r="N30" s="8"/>
      <c r="O30" s="8"/>
      <c r="P30" s="8"/>
      <c r="Q30" s="8"/>
      <c r="R30" s="8"/>
      <c r="S30" s="8"/>
      <c r="T30" s="8"/>
      <c r="U30" s="8"/>
      <c r="V30" s="8"/>
      <c r="W30" s="8"/>
      <c r="X30" s="8"/>
      <c r="Y30" s="8"/>
      <c r="Z30" s="8"/>
      <c r="AA30" s="8"/>
      <c r="AB30" s="8"/>
      <c r="AC30" s="8"/>
    </row>
    <row r="31" spans="4:29" x14ac:dyDescent="0.3">
      <c r="D31" s="8"/>
      <c r="E31" s="8"/>
      <c r="F31" s="8"/>
      <c r="G31" s="8"/>
      <c r="H31" s="8"/>
      <c r="I31" s="8"/>
      <c r="J31" s="8"/>
      <c r="K31" s="8"/>
      <c r="L31" s="8"/>
      <c r="M31" s="8"/>
      <c r="N31" s="8"/>
      <c r="O31" s="8"/>
      <c r="P31" s="8"/>
      <c r="Q31" s="8"/>
      <c r="R31" s="8"/>
      <c r="S31" s="8"/>
      <c r="T31" s="8"/>
      <c r="U31" s="8"/>
      <c r="V31" s="8"/>
      <c r="W31" s="8"/>
      <c r="X31" s="8"/>
      <c r="Y31" s="8"/>
      <c r="Z31" s="8"/>
      <c r="AA31" s="8"/>
      <c r="AB31" s="8"/>
      <c r="AC31" s="8"/>
    </row>
    <row r="32" spans="4:29" x14ac:dyDescent="0.3">
      <c r="D32" s="8"/>
      <c r="E32" s="8"/>
      <c r="F32" s="8"/>
      <c r="G32" s="8"/>
      <c r="H32" s="8"/>
      <c r="I32" s="8"/>
      <c r="J32" s="8"/>
      <c r="K32" s="8"/>
      <c r="L32" s="8"/>
      <c r="M32" s="8"/>
      <c r="N32" s="8"/>
      <c r="O32" s="8"/>
      <c r="P32" s="8"/>
      <c r="Q32" s="8"/>
      <c r="R32" s="8"/>
      <c r="S32" s="8"/>
      <c r="T32" s="8"/>
      <c r="U32" s="8"/>
      <c r="V32" s="8"/>
      <c r="W32" s="8"/>
      <c r="X32" s="8"/>
      <c r="Y32" s="8"/>
      <c r="Z32" s="8"/>
      <c r="AA32" s="8"/>
      <c r="AB32" s="8"/>
      <c r="AC32" s="8"/>
    </row>
    <row r="33" spans="4:29" x14ac:dyDescent="0.3">
      <c r="D33" s="8"/>
      <c r="E33" s="8"/>
      <c r="F33" s="8"/>
      <c r="G33" s="8"/>
      <c r="H33" s="8"/>
      <c r="I33" s="8"/>
      <c r="J33" s="8"/>
      <c r="K33" s="8"/>
      <c r="L33" s="8"/>
      <c r="M33" s="8"/>
      <c r="N33" s="8"/>
      <c r="O33" s="8"/>
      <c r="P33" s="8"/>
      <c r="Q33" s="8"/>
      <c r="R33" s="8"/>
      <c r="S33" s="8"/>
      <c r="T33" s="8"/>
      <c r="U33" s="8"/>
      <c r="V33" s="8"/>
      <c r="W33" s="8"/>
      <c r="X33" s="8"/>
      <c r="Y33" s="8"/>
      <c r="Z33" s="8"/>
      <c r="AA33" s="8"/>
      <c r="AB33" s="8"/>
      <c r="AC33" s="8"/>
    </row>
    <row r="34" spans="4:29" x14ac:dyDescent="0.3">
      <c r="D34" s="8"/>
      <c r="E34" s="8"/>
      <c r="F34" s="8"/>
      <c r="G34" s="8"/>
      <c r="H34" s="8"/>
      <c r="I34" s="8"/>
      <c r="J34" s="8"/>
      <c r="K34" s="8"/>
      <c r="L34" s="8"/>
      <c r="M34" s="8"/>
      <c r="N34" s="8"/>
      <c r="O34" s="8"/>
      <c r="P34" s="8"/>
      <c r="Q34" s="8"/>
      <c r="R34" s="8"/>
      <c r="S34" s="8"/>
      <c r="T34" s="8"/>
      <c r="U34" s="8"/>
      <c r="V34" s="8"/>
      <c r="W34" s="8"/>
      <c r="X34" s="8"/>
      <c r="Y34" s="8"/>
      <c r="Z34" s="8"/>
      <c r="AA34" s="8"/>
      <c r="AB34" s="8"/>
      <c r="AC34" s="8"/>
    </row>
    <row r="35" spans="4:29" x14ac:dyDescent="0.3">
      <c r="D35" s="8"/>
      <c r="E35" s="8"/>
      <c r="F35" s="8"/>
      <c r="G35" s="8"/>
      <c r="H35" s="8"/>
      <c r="I35" s="8"/>
      <c r="J35" s="8"/>
      <c r="K35" s="8"/>
      <c r="L35" s="8"/>
      <c r="M35" s="8"/>
      <c r="N35" s="8"/>
      <c r="O35" s="8"/>
      <c r="P35" s="8"/>
      <c r="Q35" s="8"/>
      <c r="R35" s="8"/>
      <c r="S35" s="8"/>
      <c r="T35" s="8"/>
      <c r="U35" s="8"/>
      <c r="V35" s="8"/>
      <c r="W35" s="8"/>
      <c r="X35" s="8"/>
      <c r="Y35" s="8"/>
      <c r="Z35" s="8"/>
      <c r="AA35" s="8"/>
      <c r="AB35" s="8"/>
      <c r="AC35" s="8"/>
    </row>
    <row r="36" spans="4:29" x14ac:dyDescent="0.3">
      <c r="D36" s="8"/>
      <c r="E36" s="8"/>
      <c r="F36" s="8"/>
      <c r="G36" s="8"/>
      <c r="H36" s="8"/>
      <c r="I36" s="8"/>
      <c r="J36" s="8"/>
      <c r="K36" s="8"/>
      <c r="L36" s="8"/>
      <c r="M36" s="8"/>
      <c r="N36" s="8"/>
      <c r="O36" s="8"/>
      <c r="P36" s="8"/>
      <c r="Q36" s="8"/>
      <c r="R36" s="8"/>
      <c r="S36" s="8"/>
      <c r="T36" s="8"/>
      <c r="U36" s="8"/>
      <c r="V36" s="8"/>
      <c r="W36" s="8"/>
      <c r="X36" s="8"/>
      <c r="Y36" s="8"/>
      <c r="Z36" s="8"/>
      <c r="AA36" s="8"/>
      <c r="AB36" s="8"/>
      <c r="AC36" s="8"/>
    </row>
    <row r="37" spans="4:29" x14ac:dyDescent="0.3">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4:29" x14ac:dyDescent="0.3">
      <c r="D38" s="8"/>
      <c r="E38" s="8"/>
      <c r="F38" s="8"/>
      <c r="G38" s="8"/>
      <c r="H38" s="8"/>
      <c r="I38" s="8"/>
      <c r="J38" s="8"/>
      <c r="K38" s="8"/>
      <c r="L38" s="8"/>
      <c r="M38" s="8"/>
      <c r="N38" s="8"/>
      <c r="O38" s="8"/>
      <c r="P38" s="8"/>
      <c r="Q38" s="8"/>
      <c r="R38" s="8"/>
      <c r="S38" s="8"/>
      <c r="T38" s="8"/>
      <c r="U38" s="8"/>
      <c r="V38" s="8"/>
      <c r="W38" s="8"/>
      <c r="X38" s="8"/>
      <c r="Y38" s="8"/>
      <c r="Z38" s="8"/>
      <c r="AA38" s="8"/>
      <c r="AB38" s="8"/>
      <c r="AC38" s="8"/>
    </row>
    <row r="39" spans="4:29" x14ac:dyDescent="0.3">
      <c r="D39" s="8"/>
      <c r="E39" s="8"/>
      <c r="F39" s="8"/>
      <c r="G39" s="8"/>
      <c r="H39" s="8"/>
      <c r="I39" s="8"/>
      <c r="J39" s="8"/>
      <c r="K39" s="8"/>
      <c r="L39" s="8"/>
      <c r="M39" s="8"/>
      <c r="N39" s="8"/>
      <c r="O39" s="8"/>
      <c r="P39" s="8"/>
      <c r="Q39" s="8"/>
      <c r="R39" s="8"/>
      <c r="S39" s="8"/>
      <c r="T39" s="8"/>
      <c r="U39" s="8"/>
      <c r="V39" s="8"/>
      <c r="W39" s="8"/>
      <c r="X39" s="8"/>
      <c r="Y39" s="8"/>
      <c r="Z39" s="8"/>
      <c r="AA39" s="8"/>
      <c r="AB39" s="8"/>
      <c r="AC39" s="8"/>
    </row>
    <row r="40" spans="4:29" x14ac:dyDescent="0.3">
      <c r="D40" s="8"/>
      <c r="E40" s="8"/>
      <c r="F40" s="8"/>
      <c r="G40" s="8"/>
      <c r="H40" s="8"/>
      <c r="I40" s="8"/>
      <c r="J40" s="8"/>
      <c r="K40" s="8"/>
      <c r="L40" s="8"/>
      <c r="M40" s="8"/>
      <c r="N40" s="8"/>
      <c r="O40" s="8"/>
      <c r="P40" s="8"/>
      <c r="Q40" s="8"/>
      <c r="R40" s="8"/>
      <c r="S40" s="8"/>
      <c r="T40" s="8"/>
      <c r="U40" s="8"/>
      <c r="V40" s="8"/>
      <c r="W40" s="8"/>
      <c r="X40" s="8"/>
      <c r="Y40" s="8"/>
      <c r="Z40" s="8"/>
      <c r="AA40" s="8"/>
      <c r="AB40" s="8"/>
      <c r="AC40" s="8"/>
    </row>
    <row r="41" spans="4:29" x14ac:dyDescent="0.3">
      <c r="D41" s="8"/>
      <c r="E41" s="8"/>
      <c r="F41" s="8"/>
      <c r="G41" s="8"/>
      <c r="H41" s="8"/>
      <c r="I41" s="8"/>
      <c r="J41" s="8"/>
      <c r="K41" s="8"/>
      <c r="L41" s="8"/>
      <c r="M41" s="8"/>
      <c r="N41" s="8"/>
      <c r="O41" s="8"/>
      <c r="P41" s="8"/>
      <c r="Q41" s="8"/>
      <c r="R41" s="8"/>
      <c r="S41" s="8"/>
      <c r="T41" s="8"/>
      <c r="U41" s="8"/>
      <c r="V41" s="8"/>
      <c r="W41" s="8"/>
      <c r="X41" s="8"/>
      <c r="Y41" s="8"/>
      <c r="Z41" s="8"/>
      <c r="AA41" s="8"/>
      <c r="AB41" s="8"/>
      <c r="AC41" s="8"/>
    </row>
    <row r="42" spans="4:29" x14ac:dyDescent="0.3">
      <c r="D42" s="8"/>
      <c r="E42" s="8"/>
      <c r="F42" s="8"/>
      <c r="G42" s="8"/>
      <c r="H42" s="8"/>
      <c r="I42" s="8"/>
      <c r="J42" s="8"/>
      <c r="K42" s="8"/>
      <c r="L42" s="8"/>
      <c r="M42" s="8"/>
      <c r="N42" s="8"/>
      <c r="O42" s="8"/>
      <c r="P42" s="8"/>
      <c r="Q42" s="8"/>
      <c r="R42" s="8"/>
      <c r="S42" s="8"/>
      <c r="T42" s="8"/>
      <c r="U42" s="8"/>
      <c r="V42" s="8"/>
      <c r="W42" s="8"/>
      <c r="X42" s="8"/>
      <c r="Y42" s="8"/>
      <c r="Z42" s="8"/>
      <c r="AA42" s="8"/>
      <c r="AB42" s="8"/>
      <c r="AC42" s="8"/>
    </row>
    <row r="43" spans="4:29" x14ac:dyDescent="0.3">
      <c r="D43" s="8"/>
      <c r="E43" s="8"/>
      <c r="F43" s="8"/>
      <c r="G43" s="8"/>
      <c r="H43" s="8"/>
      <c r="I43" s="8"/>
      <c r="J43" s="8"/>
      <c r="K43" s="8"/>
      <c r="L43" s="8"/>
      <c r="M43" s="8"/>
      <c r="N43" s="8"/>
      <c r="O43" s="8"/>
      <c r="P43" s="8"/>
      <c r="Q43" s="8"/>
      <c r="R43" s="8"/>
      <c r="S43" s="8"/>
      <c r="T43" s="8"/>
      <c r="U43" s="8"/>
      <c r="V43" s="8"/>
      <c r="W43" s="8"/>
      <c r="X43" s="8"/>
      <c r="Y43" s="8"/>
      <c r="Z43" s="8"/>
      <c r="AA43" s="8"/>
      <c r="AB43" s="8"/>
      <c r="AC43" s="8"/>
    </row>
    <row r="44" spans="4:29" x14ac:dyDescent="0.3">
      <c r="D44" s="8"/>
      <c r="E44" s="8"/>
      <c r="F44" s="8"/>
      <c r="G44" s="8"/>
      <c r="H44" s="8"/>
      <c r="I44" s="8"/>
      <c r="J44" s="8"/>
      <c r="K44" s="8"/>
      <c r="L44" s="8"/>
      <c r="M44" s="8"/>
      <c r="N44" s="8"/>
      <c r="O44" s="8"/>
      <c r="P44" s="8"/>
      <c r="Q44" s="8"/>
      <c r="R44" s="8"/>
      <c r="S44" s="8"/>
      <c r="T44" s="8"/>
      <c r="U44" s="8"/>
      <c r="V44" s="8"/>
      <c r="W44" s="8"/>
      <c r="X44" s="8"/>
      <c r="Y44" s="8"/>
      <c r="Z44" s="8"/>
      <c r="AA44" s="8"/>
      <c r="AB44" s="8"/>
      <c r="AC44" s="8"/>
    </row>
    <row r="45" spans="4:29" x14ac:dyDescent="0.3">
      <c r="D45" s="8"/>
      <c r="E45" s="8"/>
      <c r="F45" s="8"/>
      <c r="G45" s="8"/>
      <c r="H45" s="8"/>
      <c r="I45" s="8"/>
      <c r="J45" s="8"/>
      <c r="K45" s="8"/>
      <c r="L45" s="8"/>
      <c r="M45" s="8"/>
      <c r="N45" s="8"/>
      <c r="O45" s="8"/>
      <c r="P45" s="8"/>
      <c r="Q45" s="8"/>
      <c r="R45" s="8"/>
      <c r="S45" s="8"/>
      <c r="T45" s="8"/>
      <c r="U45" s="8"/>
      <c r="V45" s="8"/>
      <c r="W45" s="8"/>
      <c r="X45" s="8"/>
      <c r="Y45" s="8"/>
      <c r="Z45" s="8"/>
      <c r="AA45" s="8"/>
      <c r="AB45" s="8"/>
      <c r="AC45" s="8"/>
    </row>
    <row r="46" spans="4:29" x14ac:dyDescent="0.3">
      <c r="D46" s="8"/>
      <c r="E46" s="8"/>
      <c r="F46" s="8"/>
      <c r="G46" s="8"/>
      <c r="H46" s="8"/>
      <c r="I46" s="8"/>
      <c r="J46" s="8"/>
      <c r="K46" s="8"/>
      <c r="L46" s="8"/>
      <c r="M46" s="8"/>
      <c r="N46" s="8"/>
      <c r="O46" s="8"/>
      <c r="P46" s="8"/>
      <c r="Q46" s="8"/>
      <c r="R46" s="8"/>
      <c r="S46" s="8"/>
      <c r="T46" s="8"/>
      <c r="U46" s="8"/>
      <c r="V46" s="8"/>
      <c r="W46" s="8"/>
      <c r="X46" s="8"/>
      <c r="Y46" s="8"/>
      <c r="Z46" s="8"/>
      <c r="AA46" s="8"/>
      <c r="AB46" s="8"/>
      <c r="AC46" s="8"/>
    </row>
    <row r="47" spans="4:29" x14ac:dyDescent="0.3">
      <c r="D47" s="8"/>
      <c r="E47" s="8"/>
      <c r="F47" s="8"/>
      <c r="G47" s="8"/>
      <c r="H47" s="8"/>
      <c r="I47" s="8"/>
      <c r="J47" s="8"/>
      <c r="K47" s="8"/>
      <c r="L47" s="8"/>
      <c r="M47" s="8"/>
      <c r="N47" s="8"/>
      <c r="O47" s="8"/>
      <c r="P47" s="8"/>
      <c r="Q47" s="8"/>
      <c r="R47" s="8"/>
      <c r="S47" s="8"/>
      <c r="T47" s="8"/>
      <c r="U47" s="8"/>
      <c r="V47" s="8"/>
      <c r="W47" s="8"/>
      <c r="X47" s="8"/>
      <c r="Y47" s="8"/>
      <c r="Z47" s="8"/>
      <c r="AA47" s="8"/>
      <c r="AB47" s="8"/>
      <c r="AC47" s="8"/>
    </row>
    <row r="48" spans="4:29" x14ac:dyDescent="0.3">
      <c r="D48" s="8"/>
      <c r="E48" s="8"/>
      <c r="F48" s="8"/>
      <c r="G48" s="8"/>
      <c r="H48" s="8"/>
      <c r="I48" s="8"/>
      <c r="J48" s="8"/>
      <c r="K48" s="8"/>
      <c r="L48" s="8"/>
      <c r="M48" s="8"/>
      <c r="N48" s="8"/>
      <c r="O48" s="8"/>
      <c r="P48" s="8"/>
      <c r="Q48" s="8"/>
      <c r="R48" s="8"/>
      <c r="S48" s="8"/>
      <c r="T48" s="8"/>
      <c r="U48" s="8"/>
      <c r="V48" s="8"/>
      <c r="W48" s="8"/>
      <c r="X48" s="8"/>
      <c r="Y48" s="8"/>
      <c r="Z48" s="8"/>
      <c r="AA48" s="8"/>
      <c r="AB48" s="8"/>
      <c r="AC48" s="8"/>
    </row>
    <row r="49" spans="4:29" x14ac:dyDescent="0.3">
      <c r="D49" s="8"/>
      <c r="E49" s="8"/>
      <c r="F49" s="8"/>
      <c r="G49" s="8"/>
      <c r="H49" s="8"/>
      <c r="I49" s="8"/>
      <c r="J49" s="8"/>
      <c r="K49" s="8"/>
      <c r="L49" s="8"/>
      <c r="M49" s="8"/>
      <c r="N49" s="8"/>
      <c r="O49" s="8"/>
      <c r="P49" s="8"/>
      <c r="Q49" s="8"/>
      <c r="R49" s="8"/>
      <c r="S49" s="8"/>
      <c r="T49" s="8"/>
      <c r="U49" s="8"/>
      <c r="V49" s="8"/>
      <c r="W49" s="8"/>
      <c r="X49" s="8"/>
      <c r="Y49" s="8"/>
      <c r="Z49" s="8"/>
      <c r="AA49" s="8"/>
      <c r="AB49" s="8"/>
      <c r="AC49" s="8"/>
    </row>
    <row r="50" spans="4:29" x14ac:dyDescent="0.3">
      <c r="D50" s="8"/>
      <c r="E50" s="8"/>
      <c r="F50" s="8"/>
      <c r="G50" s="8"/>
      <c r="H50" s="8"/>
      <c r="I50" s="8"/>
      <c r="J50" s="8"/>
      <c r="K50" s="8"/>
      <c r="L50" s="8"/>
      <c r="M50" s="8"/>
      <c r="N50" s="8"/>
      <c r="O50" s="8"/>
      <c r="P50" s="8"/>
      <c r="Q50" s="8"/>
      <c r="R50" s="8"/>
      <c r="S50" s="8"/>
      <c r="T50" s="8"/>
      <c r="U50" s="8"/>
      <c r="V50" s="8"/>
      <c r="W50" s="8"/>
      <c r="X50" s="8"/>
      <c r="Y50" s="8"/>
      <c r="Z50" s="8"/>
      <c r="AA50" s="8"/>
      <c r="AB50" s="8"/>
      <c r="AC50" s="8"/>
    </row>
    <row r="51" spans="4:29" x14ac:dyDescent="0.3">
      <c r="D51" s="8"/>
      <c r="E51" s="8"/>
      <c r="F51" s="8"/>
      <c r="G51" s="8"/>
      <c r="H51" s="8"/>
      <c r="I51" s="8"/>
      <c r="J51" s="8"/>
      <c r="K51" s="8"/>
      <c r="L51" s="8"/>
      <c r="M51" s="8"/>
      <c r="N51" s="8"/>
      <c r="O51" s="8"/>
      <c r="P51" s="8"/>
      <c r="Q51" s="8"/>
      <c r="R51" s="8"/>
      <c r="S51" s="8"/>
      <c r="T51" s="8"/>
      <c r="U51" s="8"/>
      <c r="V51" s="8"/>
      <c r="W51" s="8"/>
      <c r="X51" s="8"/>
      <c r="Y51" s="8"/>
      <c r="Z51" s="8"/>
      <c r="AA51" s="8"/>
      <c r="AB51" s="8"/>
      <c r="AC51" s="8"/>
    </row>
    <row r="52" spans="4:29" x14ac:dyDescent="0.3">
      <c r="D52" s="8"/>
      <c r="E52" s="8"/>
      <c r="F52" s="8"/>
      <c r="G52" s="8"/>
      <c r="H52" s="8"/>
      <c r="I52" s="8"/>
      <c r="J52" s="8"/>
      <c r="K52" s="8"/>
      <c r="L52" s="8"/>
      <c r="M52" s="8"/>
      <c r="N52" s="8"/>
      <c r="O52" s="8"/>
      <c r="P52" s="8"/>
      <c r="Q52" s="8"/>
      <c r="R52" s="8"/>
      <c r="S52" s="8"/>
      <c r="T52" s="8"/>
      <c r="U52" s="8"/>
      <c r="V52" s="8"/>
      <c r="W52" s="8"/>
      <c r="X52" s="8"/>
      <c r="Y52" s="8"/>
      <c r="Z52" s="8"/>
      <c r="AA52" s="8"/>
      <c r="AB52" s="8"/>
      <c r="AC52" s="8"/>
    </row>
    <row r="66" spans="9:9" x14ac:dyDescent="0.3">
      <c r="I66" t="s">
        <v>71</v>
      </c>
    </row>
  </sheetData>
  <mergeCells count="1">
    <mergeCell ref="D4:AC5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5E8FB591-9052-4616-82B9-717A65E0ACE3}">
  <ds:schemaRefs/>
</ds:datastoreItem>
</file>

<file path=customXml/itemProps2.xml><?xml version="1.0" encoding="utf-8"?>
<ds:datastoreItem xmlns:ds="http://schemas.openxmlformats.org/officeDocument/2006/customXml" ds:itemID="{1D44F244-16EB-42B4-9B90-7F61EB8E3D71}">
  <ds:schemaRefs/>
</ds:datastoreItem>
</file>

<file path=customXml/itemProps3.xml><?xml version="1.0" encoding="utf-8"?>
<ds:datastoreItem xmlns:ds="http://schemas.openxmlformats.org/officeDocument/2006/customXml" ds:itemID="{D6479E3F-2FF9-4D63-B969-0D00E06CEDCC}">
  <ds:schemaRefs/>
</ds:datastoreItem>
</file>

<file path=customXml/itemProps4.xml><?xml version="1.0" encoding="utf-8"?>
<ds:datastoreItem xmlns:ds="http://schemas.openxmlformats.org/officeDocument/2006/customXml" ds:itemID="{FBE44A39-C6E9-465F-ABA2-3CFEF598ADCC}">
  <ds:schemaRefs/>
</ds:datastoreItem>
</file>

<file path=customXml/itemProps5.xml><?xml version="1.0" encoding="utf-8"?>
<ds:datastoreItem xmlns:ds="http://schemas.openxmlformats.org/officeDocument/2006/customXml" ds:itemID="{1CC256E8-46E6-48DA-A32F-5C5373358FF3}">
  <ds:schemaRefs/>
</ds:datastoreItem>
</file>

<file path=customXml/itemProps6.xml><?xml version="1.0" encoding="utf-8"?>
<ds:datastoreItem xmlns:ds="http://schemas.openxmlformats.org/officeDocument/2006/customXml" ds:itemID="{9C45A1A7-FDA6-4E88-B3F4-C837DF81A1D9}">
  <ds:schemaRefs/>
</ds:datastoreItem>
</file>

<file path=customXml/itemProps7.xml><?xml version="1.0" encoding="utf-8"?>
<ds:datastoreItem xmlns:ds="http://schemas.openxmlformats.org/officeDocument/2006/customXml" ds:itemID="{34254FFB-8706-4D92-963D-59D9E553FAB0}">
  <ds:schemaRefs/>
</ds:datastoreItem>
</file>

<file path=customXml/itemProps8.xml><?xml version="1.0" encoding="utf-8"?>
<ds:datastoreItem xmlns:ds="http://schemas.openxmlformats.org/officeDocument/2006/customXml" ds:itemID="{4FBB8A69-1F3E-4E97-A573-2A8BE9E7B277}">
  <ds:schemaRefs/>
</ds:datastoreItem>
</file>

<file path=customXml/itemProps9.xml><?xml version="1.0" encoding="utf-8"?>
<ds:datastoreItem xmlns:ds="http://schemas.openxmlformats.org/officeDocument/2006/customXml" ds:itemID="{FAEA4698-4CE1-4449-9700-92F3128C9D25}">
  <ds:schemaRefs/>
</ds:datastoreItem>
</file>

<file path=customXml/itemProps10.xml><?xml version="1.0" encoding="utf-8"?>
<ds:datastoreItem xmlns:ds="http://schemas.openxmlformats.org/officeDocument/2006/customXml" ds:itemID="{713BB67A-3B91-4453-92E3-A7B245D00AD8}">
  <ds:schemaRefs/>
</ds:datastoreItem>
</file>

<file path=customXml/itemProps11.xml><?xml version="1.0" encoding="utf-8"?>
<ds:datastoreItem xmlns:ds="http://schemas.openxmlformats.org/officeDocument/2006/customXml" ds:itemID="{E13614F8-782D-4114-8414-5ACC111B1826}">
  <ds:schemaRefs/>
</ds:datastoreItem>
</file>

<file path=customXml/itemProps12.xml><?xml version="1.0" encoding="utf-8"?>
<ds:datastoreItem xmlns:ds="http://schemas.openxmlformats.org/officeDocument/2006/customXml" ds:itemID="{05E00467-815A-4B36-BCAC-0C2BDE306DCA}">
  <ds:schemaRefs/>
</ds:datastoreItem>
</file>

<file path=customXml/itemProps13.xml><?xml version="1.0" encoding="utf-8"?>
<ds:datastoreItem xmlns:ds="http://schemas.openxmlformats.org/officeDocument/2006/customXml" ds:itemID="{CC0FCC2E-A140-4EAF-9053-FDE264CAAA65}">
  <ds:schemaRefs/>
</ds:datastoreItem>
</file>

<file path=customXml/itemProps14.xml><?xml version="1.0" encoding="utf-8"?>
<ds:datastoreItem xmlns:ds="http://schemas.openxmlformats.org/officeDocument/2006/customXml" ds:itemID="{5FC232F4-3BF8-4B9A-A684-7F4842183E45}">
  <ds:schemaRefs/>
</ds:datastoreItem>
</file>

<file path=customXml/itemProps15.xml><?xml version="1.0" encoding="utf-8"?>
<ds:datastoreItem xmlns:ds="http://schemas.openxmlformats.org/officeDocument/2006/customXml" ds:itemID="{B8D9FE1D-F317-4F0C-A696-9876D15CC66E}">
  <ds:schemaRefs/>
</ds:datastoreItem>
</file>

<file path=customXml/itemProps16.xml><?xml version="1.0" encoding="utf-8"?>
<ds:datastoreItem xmlns:ds="http://schemas.openxmlformats.org/officeDocument/2006/customXml" ds:itemID="{EA9153A5-41CC-4F03-9FAF-2D218C67EC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Rohit Chaturbhuj</cp:lastModifiedBy>
  <dcterms:created xsi:type="dcterms:W3CDTF">2026-02-28T11:33:49Z</dcterms:created>
  <dcterms:modified xsi:type="dcterms:W3CDTF">2026-03-06T18:09:45Z</dcterms:modified>
</cp:coreProperties>
</file>